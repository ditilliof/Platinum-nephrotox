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UW\Personal$\Homes\K\kunnensj\My Documents\Datasets\RPTEC\Cisplatin\Data\"/>
    </mc:Choice>
  </mc:AlternateContent>
  <xr:revisionPtr revIDLastSave="0" documentId="13_ncr:1_{508B5750-821A-42FE-9E67-54E5ACD344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eta (1)" sheetId="1" r:id="rId1"/>
  </sheets>
  <definedNames>
    <definedName name="_xlnm._FilterDatabase" localSheetId="0" hidden="1">'meta (1)'!$A$1:$X$238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7" i="1" l="1"/>
  <c r="D191" i="1"/>
  <c r="D192" i="1"/>
  <c r="D193" i="1"/>
  <c r="D194" i="1"/>
  <c r="D195" i="1"/>
  <c r="D196" i="1"/>
  <c r="D26" i="1"/>
  <c r="D23" i="1"/>
  <c r="D20" i="1"/>
  <c r="D17" i="1"/>
  <c r="D14" i="1"/>
  <c r="D11" i="1"/>
  <c r="D8" i="1"/>
  <c r="D5" i="1"/>
  <c r="D2" i="1"/>
  <c r="D197" i="1"/>
  <c r="D198" i="1"/>
  <c r="D27" i="1"/>
  <c r="D24" i="1"/>
  <c r="D21" i="1"/>
  <c r="D18" i="1"/>
  <c r="D15" i="1"/>
  <c r="D12" i="1"/>
  <c r="D9" i="1"/>
  <c r="D6" i="1"/>
  <c r="D3" i="1"/>
  <c r="D199" i="1"/>
  <c r="D200" i="1"/>
  <c r="D28" i="1"/>
  <c r="D25" i="1"/>
  <c r="D22" i="1"/>
  <c r="D19" i="1"/>
  <c r="D16" i="1"/>
  <c r="D13" i="1"/>
  <c r="D10" i="1"/>
  <c r="D7" i="1"/>
  <c r="D4" i="1"/>
  <c r="D201" i="1"/>
  <c r="D202" i="1"/>
  <c r="D53" i="1"/>
  <c r="D50" i="1"/>
  <c r="D47" i="1"/>
  <c r="D44" i="1"/>
  <c r="D41" i="1"/>
  <c r="D38" i="1"/>
  <c r="D35" i="1"/>
  <c r="D32" i="1"/>
  <c r="D29" i="1"/>
  <c r="D203" i="1"/>
  <c r="D204" i="1"/>
  <c r="D54" i="1"/>
  <c r="D51" i="1"/>
  <c r="D48" i="1"/>
  <c r="D45" i="1"/>
  <c r="D42" i="1"/>
  <c r="D39" i="1"/>
  <c r="D36" i="1"/>
  <c r="D33" i="1"/>
  <c r="D30" i="1"/>
  <c r="D205" i="1"/>
  <c r="D206" i="1"/>
  <c r="D55" i="1"/>
  <c r="D52" i="1"/>
  <c r="D49" i="1"/>
  <c r="D46" i="1"/>
  <c r="D43" i="1"/>
  <c r="D40" i="1"/>
  <c r="D37" i="1"/>
  <c r="D34" i="1"/>
  <c r="D31" i="1"/>
  <c r="D207" i="1"/>
  <c r="D208" i="1"/>
  <c r="D80" i="1"/>
  <c r="D77" i="1"/>
  <c r="D74" i="1"/>
  <c r="D71" i="1"/>
  <c r="D68" i="1"/>
  <c r="D65" i="1"/>
  <c r="D62" i="1"/>
  <c r="D59" i="1"/>
  <c r="D56" i="1"/>
  <c r="D209" i="1"/>
  <c r="D210" i="1"/>
  <c r="D81" i="1"/>
  <c r="D78" i="1"/>
  <c r="D75" i="1"/>
  <c r="D72" i="1"/>
  <c r="D69" i="1"/>
  <c r="D66" i="1"/>
  <c r="D63" i="1"/>
  <c r="D60" i="1"/>
  <c r="D57" i="1"/>
  <c r="D211" i="1"/>
  <c r="D212" i="1"/>
  <c r="D82" i="1"/>
  <c r="D79" i="1"/>
  <c r="D76" i="1"/>
  <c r="D73" i="1"/>
  <c r="D70" i="1"/>
  <c r="D67" i="1"/>
  <c r="D64" i="1"/>
  <c r="D61" i="1"/>
  <c r="D58" i="1"/>
  <c r="D213" i="1"/>
  <c r="D214" i="1"/>
  <c r="D131" i="1"/>
  <c r="D125" i="1"/>
  <c r="D119" i="1"/>
  <c r="D113" i="1"/>
  <c r="D107" i="1"/>
  <c r="D101" i="1"/>
  <c r="D96" i="1"/>
  <c r="D89" i="1"/>
  <c r="D83" i="1"/>
  <c r="D215" i="1"/>
  <c r="D216" i="1"/>
  <c r="D132" i="1"/>
  <c r="D126" i="1"/>
  <c r="D120" i="1"/>
  <c r="D114" i="1"/>
  <c r="D108" i="1"/>
  <c r="D102" i="1"/>
  <c r="D97" i="1"/>
  <c r="D90" i="1"/>
  <c r="D84" i="1"/>
  <c r="D217" i="1"/>
  <c r="D218" i="1"/>
  <c r="D133" i="1"/>
  <c r="D127" i="1"/>
  <c r="D121" i="1"/>
  <c r="D115" i="1"/>
  <c r="D109" i="1"/>
  <c r="D103" i="1"/>
  <c r="D98" i="1"/>
  <c r="D91" i="1"/>
  <c r="D85" i="1"/>
  <c r="D219" i="1"/>
  <c r="D220" i="1"/>
  <c r="D134" i="1"/>
  <c r="D128" i="1"/>
  <c r="D122" i="1"/>
  <c r="D116" i="1"/>
  <c r="D110" i="1"/>
  <c r="D104" i="1"/>
  <c r="D99" i="1"/>
  <c r="D92" i="1"/>
  <c r="D86" i="1"/>
  <c r="D221" i="1"/>
  <c r="D135" i="1"/>
  <c r="D129" i="1"/>
  <c r="D123" i="1"/>
  <c r="D117" i="1"/>
  <c r="D111" i="1"/>
  <c r="D105" i="1"/>
  <c r="D95" i="1"/>
  <c r="D93" i="1"/>
  <c r="D87" i="1"/>
  <c r="D222" i="1"/>
  <c r="D161" i="1"/>
  <c r="D158" i="1"/>
  <c r="D155" i="1"/>
  <c r="D152" i="1"/>
  <c r="D149" i="1"/>
  <c r="D146" i="1"/>
  <c r="D143" i="1"/>
  <c r="D140" i="1"/>
  <c r="D137" i="1"/>
  <c r="D224" i="1"/>
  <c r="D225" i="1"/>
  <c r="D162" i="1"/>
  <c r="D159" i="1"/>
  <c r="D156" i="1"/>
  <c r="D153" i="1"/>
  <c r="D150" i="1"/>
  <c r="D147" i="1"/>
  <c r="D144" i="1"/>
  <c r="D141" i="1"/>
  <c r="D138" i="1"/>
  <c r="D226" i="1"/>
  <c r="D227" i="1"/>
  <c r="D163" i="1"/>
  <c r="D160" i="1"/>
  <c r="D157" i="1"/>
  <c r="D154" i="1"/>
  <c r="D151" i="1"/>
  <c r="D148" i="1"/>
  <c r="D145" i="1"/>
  <c r="D142" i="1"/>
  <c r="D139" i="1"/>
  <c r="D228" i="1"/>
  <c r="D229" i="1"/>
  <c r="D188" i="1"/>
  <c r="D185" i="1"/>
  <c r="D182" i="1"/>
  <c r="D179" i="1"/>
  <c r="D176" i="1"/>
  <c r="D173" i="1"/>
  <c r="D170" i="1"/>
  <c r="D167" i="1"/>
  <c r="D164" i="1"/>
  <c r="D230" i="1"/>
  <c r="D231" i="1"/>
  <c r="D189" i="1"/>
  <c r="D186" i="1"/>
  <c r="D183" i="1"/>
  <c r="D180" i="1"/>
  <c r="D177" i="1"/>
  <c r="D174" i="1"/>
  <c r="D171" i="1"/>
  <c r="D168" i="1"/>
  <c r="D165" i="1"/>
  <c r="D232" i="1"/>
  <c r="D233" i="1"/>
  <c r="D190" i="1"/>
  <c r="D187" i="1"/>
  <c r="D184" i="1"/>
  <c r="D181" i="1"/>
  <c r="D178" i="1"/>
  <c r="D175" i="1"/>
  <c r="D172" i="1"/>
  <c r="D169" i="1"/>
  <c r="D166" i="1"/>
  <c r="D234" i="1"/>
  <c r="D235" i="1"/>
  <c r="D136" i="1"/>
  <c r="D130" i="1"/>
  <c r="D124" i="1"/>
  <c r="D118" i="1"/>
  <c r="D112" i="1"/>
  <c r="D106" i="1"/>
  <c r="D100" i="1"/>
  <c r="D94" i="1"/>
  <c r="D88" i="1"/>
  <c r="D223" i="1"/>
  <c r="D238" i="1"/>
  <c r="D236" i="1"/>
  <c r="O237" i="1"/>
  <c r="O191" i="1"/>
  <c r="O192" i="1"/>
  <c r="O193" i="1"/>
  <c r="O194" i="1"/>
  <c r="O195" i="1"/>
  <c r="O196" i="1"/>
  <c r="O26" i="1"/>
  <c r="O23" i="1"/>
  <c r="O20" i="1"/>
  <c r="O17" i="1"/>
  <c r="O14" i="1"/>
  <c r="O11" i="1"/>
  <c r="O8" i="1"/>
  <c r="O5" i="1"/>
  <c r="O2" i="1"/>
  <c r="O197" i="1"/>
  <c r="O198" i="1"/>
  <c r="O27" i="1"/>
  <c r="O24" i="1"/>
  <c r="O21" i="1"/>
  <c r="O18" i="1"/>
  <c r="O15" i="1"/>
  <c r="O12" i="1"/>
  <c r="O9" i="1"/>
  <c r="O6" i="1"/>
  <c r="O3" i="1"/>
  <c r="O199" i="1"/>
  <c r="O200" i="1"/>
  <c r="O28" i="1"/>
  <c r="O25" i="1"/>
  <c r="O22" i="1"/>
  <c r="O19" i="1"/>
  <c r="O16" i="1"/>
  <c r="O13" i="1"/>
  <c r="O10" i="1"/>
  <c r="O7" i="1"/>
  <c r="O4" i="1"/>
  <c r="O201" i="1"/>
  <c r="O202" i="1"/>
  <c r="O53" i="1"/>
  <c r="O50" i="1"/>
  <c r="O47" i="1"/>
  <c r="O44" i="1"/>
  <c r="O41" i="1"/>
  <c r="O38" i="1"/>
  <c r="O35" i="1"/>
  <c r="O32" i="1"/>
  <c r="O29" i="1"/>
  <c r="O203" i="1"/>
  <c r="O204" i="1"/>
  <c r="O54" i="1"/>
  <c r="O51" i="1"/>
  <c r="O48" i="1"/>
  <c r="O45" i="1"/>
  <c r="O42" i="1"/>
  <c r="O39" i="1"/>
  <c r="O36" i="1"/>
  <c r="O33" i="1"/>
  <c r="O30" i="1"/>
  <c r="O205" i="1"/>
  <c r="O206" i="1"/>
  <c r="O55" i="1"/>
  <c r="O52" i="1"/>
  <c r="O49" i="1"/>
  <c r="O46" i="1"/>
  <c r="O43" i="1"/>
  <c r="O40" i="1"/>
  <c r="O37" i="1"/>
  <c r="O34" i="1"/>
  <c r="O31" i="1"/>
  <c r="O207" i="1"/>
  <c r="O208" i="1"/>
  <c r="O80" i="1"/>
  <c r="O77" i="1"/>
  <c r="O74" i="1"/>
  <c r="O71" i="1"/>
  <c r="O68" i="1"/>
  <c r="O65" i="1"/>
  <c r="O62" i="1"/>
  <c r="O59" i="1"/>
  <c r="O56" i="1"/>
  <c r="O209" i="1"/>
  <c r="O210" i="1"/>
  <c r="O81" i="1"/>
  <c r="O78" i="1"/>
  <c r="O75" i="1"/>
  <c r="O72" i="1"/>
  <c r="O69" i="1"/>
  <c r="O66" i="1"/>
  <c r="O63" i="1"/>
  <c r="O60" i="1"/>
  <c r="O57" i="1"/>
  <c r="O211" i="1"/>
  <c r="O212" i="1"/>
  <c r="O82" i="1"/>
  <c r="O79" i="1"/>
  <c r="O76" i="1"/>
  <c r="O73" i="1"/>
  <c r="O70" i="1"/>
  <c r="O67" i="1"/>
  <c r="O64" i="1"/>
  <c r="O61" i="1"/>
  <c r="O58" i="1"/>
  <c r="O213" i="1"/>
  <c r="O214" i="1"/>
  <c r="O131" i="1"/>
  <c r="O125" i="1"/>
  <c r="O119" i="1"/>
  <c r="O113" i="1"/>
  <c r="O107" i="1"/>
  <c r="O101" i="1"/>
  <c r="O96" i="1"/>
  <c r="O89" i="1"/>
  <c r="O83" i="1"/>
  <c r="O215" i="1"/>
  <c r="O216" i="1"/>
  <c r="O132" i="1"/>
  <c r="O126" i="1"/>
  <c r="O120" i="1"/>
  <c r="O114" i="1"/>
  <c r="O108" i="1"/>
  <c r="O102" i="1"/>
  <c r="O97" i="1"/>
  <c r="O90" i="1"/>
  <c r="O84" i="1"/>
  <c r="O217" i="1"/>
  <c r="O218" i="1"/>
  <c r="O133" i="1"/>
  <c r="O127" i="1"/>
  <c r="O121" i="1"/>
  <c r="O115" i="1"/>
  <c r="O109" i="1"/>
  <c r="O103" i="1"/>
  <c r="O98" i="1"/>
  <c r="O91" i="1"/>
  <c r="O85" i="1"/>
  <c r="O219" i="1"/>
  <c r="O220" i="1"/>
  <c r="O134" i="1"/>
  <c r="O128" i="1"/>
  <c r="O122" i="1"/>
  <c r="O116" i="1"/>
  <c r="O110" i="1"/>
  <c r="O104" i="1"/>
  <c r="O99" i="1"/>
  <c r="O92" i="1"/>
  <c r="O86" i="1"/>
  <c r="O221" i="1"/>
  <c r="O135" i="1"/>
  <c r="O129" i="1"/>
  <c r="O123" i="1"/>
  <c r="O117" i="1"/>
  <c r="O111" i="1"/>
  <c r="O105" i="1"/>
  <c r="O95" i="1"/>
  <c r="O93" i="1"/>
  <c r="O87" i="1"/>
  <c r="O222" i="1"/>
  <c r="O161" i="1"/>
  <c r="O158" i="1"/>
  <c r="O155" i="1"/>
  <c r="O152" i="1"/>
  <c r="O149" i="1"/>
  <c r="O146" i="1"/>
  <c r="O143" i="1"/>
  <c r="O140" i="1"/>
  <c r="O137" i="1"/>
  <c r="O224" i="1"/>
  <c r="O225" i="1"/>
  <c r="O162" i="1"/>
  <c r="O159" i="1"/>
  <c r="O156" i="1"/>
  <c r="O153" i="1"/>
  <c r="O150" i="1"/>
  <c r="O147" i="1"/>
  <c r="O144" i="1"/>
  <c r="O141" i="1"/>
  <c r="O138" i="1"/>
  <c r="O226" i="1"/>
  <c r="O227" i="1"/>
  <c r="O163" i="1"/>
  <c r="O160" i="1"/>
  <c r="O157" i="1"/>
  <c r="O154" i="1"/>
  <c r="O151" i="1"/>
  <c r="O148" i="1"/>
  <c r="O145" i="1"/>
  <c r="O142" i="1"/>
  <c r="O139" i="1"/>
  <c r="O228" i="1"/>
  <c r="O229" i="1"/>
  <c r="O188" i="1"/>
  <c r="O185" i="1"/>
  <c r="O182" i="1"/>
  <c r="O179" i="1"/>
  <c r="O176" i="1"/>
  <c r="O173" i="1"/>
  <c r="O170" i="1"/>
  <c r="O167" i="1"/>
  <c r="O164" i="1"/>
  <c r="O230" i="1"/>
  <c r="O231" i="1"/>
  <c r="O189" i="1"/>
  <c r="O186" i="1"/>
  <c r="O183" i="1"/>
  <c r="O180" i="1"/>
  <c r="O177" i="1"/>
  <c r="O174" i="1"/>
  <c r="O171" i="1"/>
  <c r="O168" i="1"/>
  <c r="O165" i="1"/>
  <c r="O232" i="1"/>
  <c r="O233" i="1"/>
  <c r="O190" i="1"/>
  <c r="O187" i="1"/>
  <c r="O184" i="1"/>
  <c r="O181" i="1"/>
  <c r="O178" i="1"/>
  <c r="O175" i="1"/>
  <c r="O172" i="1"/>
  <c r="O169" i="1"/>
  <c r="O166" i="1"/>
  <c r="O234" i="1"/>
  <c r="O235" i="1"/>
  <c r="O136" i="1"/>
  <c r="O130" i="1"/>
  <c r="O124" i="1"/>
  <c r="O118" i="1"/>
  <c r="O112" i="1"/>
  <c r="O106" i="1"/>
  <c r="O100" i="1"/>
  <c r="O94" i="1"/>
  <c r="O88" i="1"/>
  <c r="O223" i="1"/>
  <c r="O238" i="1"/>
  <c r="O236" i="1"/>
  <c r="N237" i="1"/>
  <c r="N191" i="1"/>
  <c r="N192" i="1"/>
  <c r="N193" i="1"/>
  <c r="S193" i="1" s="1"/>
  <c r="N194" i="1"/>
  <c r="N195" i="1"/>
  <c r="B195" i="1" s="1"/>
  <c r="N196" i="1"/>
  <c r="N26" i="1"/>
  <c r="B26" i="1" s="1"/>
  <c r="N23" i="1"/>
  <c r="N20" i="1"/>
  <c r="N17" i="1"/>
  <c r="N14" i="1"/>
  <c r="S14" i="1" s="1"/>
  <c r="N11" i="1"/>
  <c r="N8" i="1"/>
  <c r="B8" i="1" s="1"/>
  <c r="N5" i="1"/>
  <c r="N2" i="1"/>
  <c r="S2" i="1" s="1"/>
  <c r="N197" i="1"/>
  <c r="N198" i="1"/>
  <c r="N27" i="1"/>
  <c r="N24" i="1"/>
  <c r="S24" i="1" s="1"/>
  <c r="N21" i="1"/>
  <c r="N18" i="1"/>
  <c r="B18" i="1" s="1"/>
  <c r="N15" i="1"/>
  <c r="N12" i="1"/>
  <c r="B12" i="1" s="1"/>
  <c r="N9" i="1"/>
  <c r="N6" i="1"/>
  <c r="N3" i="1"/>
  <c r="N199" i="1"/>
  <c r="S199" i="1" s="1"/>
  <c r="N200" i="1"/>
  <c r="N28" i="1"/>
  <c r="B28" i="1" s="1"/>
  <c r="N25" i="1"/>
  <c r="N22" i="1"/>
  <c r="B22" i="1" s="1"/>
  <c r="N19" i="1"/>
  <c r="N16" i="1"/>
  <c r="N13" i="1"/>
  <c r="N10" i="1"/>
  <c r="S10" i="1" s="1"/>
  <c r="N7" i="1"/>
  <c r="N4" i="1"/>
  <c r="B4" i="1" s="1"/>
  <c r="N201" i="1"/>
  <c r="N202" i="1"/>
  <c r="B202" i="1" s="1"/>
  <c r="N53" i="1"/>
  <c r="N50" i="1"/>
  <c r="N47" i="1"/>
  <c r="N44" i="1"/>
  <c r="S44" i="1" s="1"/>
  <c r="N41" i="1"/>
  <c r="N38" i="1"/>
  <c r="B38" i="1" s="1"/>
  <c r="N35" i="1"/>
  <c r="N32" i="1"/>
  <c r="S32" i="1" s="1"/>
  <c r="N29" i="1"/>
  <c r="N203" i="1"/>
  <c r="N204" i="1"/>
  <c r="N54" i="1"/>
  <c r="S54" i="1" s="1"/>
  <c r="N51" i="1"/>
  <c r="N48" i="1"/>
  <c r="B48" i="1" s="1"/>
  <c r="N45" i="1"/>
  <c r="N42" i="1"/>
  <c r="B42" i="1" s="1"/>
  <c r="N39" i="1"/>
  <c r="N36" i="1"/>
  <c r="N33" i="1"/>
  <c r="N30" i="1"/>
  <c r="S30" i="1" s="1"/>
  <c r="N205" i="1"/>
  <c r="S205" i="1" s="1"/>
  <c r="N206" i="1"/>
  <c r="B206" i="1" s="1"/>
  <c r="N55" i="1"/>
  <c r="N52" i="1"/>
  <c r="B52" i="1" s="1"/>
  <c r="N49" i="1"/>
  <c r="N46" i="1"/>
  <c r="N43" i="1"/>
  <c r="N40" i="1"/>
  <c r="S40" i="1" s="1"/>
  <c r="N37" i="1"/>
  <c r="N34" i="1"/>
  <c r="B34" i="1" s="1"/>
  <c r="N31" i="1"/>
  <c r="N207" i="1"/>
  <c r="B207" i="1" s="1"/>
  <c r="N208" i="1"/>
  <c r="N80" i="1"/>
  <c r="N77" i="1"/>
  <c r="N74" i="1"/>
  <c r="S74" i="1" s="1"/>
  <c r="N71" i="1"/>
  <c r="N68" i="1"/>
  <c r="B68" i="1" s="1"/>
  <c r="N65" i="1"/>
  <c r="N62" i="1"/>
  <c r="S62" i="1" s="1"/>
  <c r="N59" i="1"/>
  <c r="N56" i="1"/>
  <c r="N209" i="1"/>
  <c r="N210" i="1"/>
  <c r="S210" i="1" s="1"/>
  <c r="N81" i="1"/>
  <c r="S81" i="1" s="1"/>
  <c r="N78" i="1"/>
  <c r="B78" i="1" s="1"/>
  <c r="N75" i="1"/>
  <c r="N72" i="1"/>
  <c r="B72" i="1" s="1"/>
  <c r="N69" i="1"/>
  <c r="N66" i="1"/>
  <c r="N63" i="1"/>
  <c r="N60" i="1"/>
  <c r="S60" i="1" s="1"/>
  <c r="N57" i="1"/>
  <c r="S57" i="1" s="1"/>
  <c r="N211" i="1"/>
  <c r="B211" i="1" s="1"/>
  <c r="N212" i="1"/>
  <c r="N82" i="1"/>
  <c r="B82" i="1" s="1"/>
  <c r="N79" i="1"/>
  <c r="N76" i="1"/>
  <c r="N73" i="1"/>
  <c r="N70" i="1"/>
  <c r="S70" i="1" s="1"/>
  <c r="N67" i="1"/>
  <c r="N64" i="1"/>
  <c r="B64" i="1" s="1"/>
  <c r="N61" i="1"/>
  <c r="N58" i="1"/>
  <c r="B58" i="1" s="1"/>
  <c r="N213" i="1"/>
  <c r="N214" i="1"/>
  <c r="N131" i="1"/>
  <c r="N125" i="1"/>
  <c r="S125" i="1" s="1"/>
  <c r="N119" i="1"/>
  <c r="N113" i="1"/>
  <c r="B113" i="1" s="1"/>
  <c r="N107" i="1"/>
  <c r="N101" i="1"/>
  <c r="B101" i="1" s="1"/>
  <c r="N96" i="1"/>
  <c r="N89" i="1"/>
  <c r="N83" i="1"/>
  <c r="N215" i="1"/>
  <c r="S215" i="1" s="1"/>
  <c r="N216" i="1"/>
  <c r="S216" i="1" s="1"/>
  <c r="N132" i="1"/>
  <c r="B132" i="1" s="1"/>
  <c r="N126" i="1"/>
  <c r="N120" i="1"/>
  <c r="B120" i="1" s="1"/>
  <c r="N114" i="1"/>
  <c r="N108" i="1"/>
  <c r="N102" i="1"/>
  <c r="N97" i="1"/>
  <c r="S97" i="1" s="1"/>
  <c r="N90" i="1"/>
  <c r="S90" i="1" s="1"/>
  <c r="N84" i="1"/>
  <c r="B84" i="1" s="1"/>
  <c r="N217" i="1"/>
  <c r="N218" i="1"/>
  <c r="S218" i="1" s="1"/>
  <c r="N133" i="1"/>
  <c r="N127" i="1"/>
  <c r="N121" i="1"/>
  <c r="N115" i="1"/>
  <c r="S115" i="1" s="1"/>
  <c r="N109" i="1"/>
  <c r="N103" i="1"/>
  <c r="B103" i="1" s="1"/>
  <c r="N98" i="1"/>
  <c r="N91" i="1"/>
  <c r="B91" i="1" s="1"/>
  <c r="N85" i="1"/>
  <c r="N219" i="1"/>
  <c r="N220" i="1"/>
  <c r="N134" i="1"/>
  <c r="S134" i="1" s="1"/>
  <c r="N128" i="1"/>
  <c r="N122" i="1"/>
  <c r="B122" i="1" s="1"/>
  <c r="N116" i="1"/>
  <c r="N110" i="1"/>
  <c r="B110" i="1" s="1"/>
  <c r="N104" i="1"/>
  <c r="N99" i="1"/>
  <c r="N92" i="1"/>
  <c r="N86" i="1"/>
  <c r="S86" i="1" s="1"/>
  <c r="N221" i="1"/>
  <c r="N135" i="1"/>
  <c r="B135" i="1" s="1"/>
  <c r="N129" i="1"/>
  <c r="N123" i="1"/>
  <c r="B123" i="1" s="1"/>
  <c r="N117" i="1"/>
  <c r="N111" i="1"/>
  <c r="N105" i="1"/>
  <c r="N95" i="1"/>
  <c r="S95" i="1" s="1"/>
  <c r="N93" i="1"/>
  <c r="N87" i="1"/>
  <c r="B87" i="1" s="1"/>
  <c r="N222" i="1"/>
  <c r="N161" i="1"/>
  <c r="B161" i="1" s="1"/>
  <c r="N158" i="1"/>
  <c r="N155" i="1"/>
  <c r="N152" i="1"/>
  <c r="N149" i="1"/>
  <c r="S149" i="1" s="1"/>
  <c r="N146" i="1"/>
  <c r="N143" i="1"/>
  <c r="B143" i="1" s="1"/>
  <c r="N140" i="1"/>
  <c r="N137" i="1"/>
  <c r="B137" i="1" s="1"/>
  <c r="N224" i="1"/>
  <c r="N225" i="1"/>
  <c r="N162" i="1"/>
  <c r="N159" i="1"/>
  <c r="S159" i="1" s="1"/>
  <c r="N156" i="1"/>
  <c r="N153" i="1"/>
  <c r="B153" i="1" s="1"/>
  <c r="N150" i="1"/>
  <c r="N147" i="1"/>
  <c r="S147" i="1" s="1"/>
  <c r="N144" i="1"/>
  <c r="N141" i="1"/>
  <c r="N138" i="1"/>
  <c r="N226" i="1"/>
  <c r="S226" i="1" s="1"/>
  <c r="N227" i="1"/>
  <c r="N163" i="1"/>
  <c r="B163" i="1" s="1"/>
  <c r="N160" i="1"/>
  <c r="N157" i="1"/>
  <c r="B157" i="1" s="1"/>
  <c r="N154" i="1"/>
  <c r="N151" i="1"/>
  <c r="N148" i="1"/>
  <c r="N145" i="1"/>
  <c r="S145" i="1" s="1"/>
  <c r="N142" i="1"/>
  <c r="N139" i="1"/>
  <c r="B139" i="1" s="1"/>
  <c r="N228" i="1"/>
  <c r="N229" i="1"/>
  <c r="B229" i="1" s="1"/>
  <c r="N188" i="1"/>
  <c r="N185" i="1"/>
  <c r="N182" i="1"/>
  <c r="N179" i="1"/>
  <c r="S179" i="1" s="1"/>
  <c r="N176" i="1"/>
  <c r="N173" i="1"/>
  <c r="B173" i="1" s="1"/>
  <c r="N170" i="1"/>
  <c r="N167" i="1"/>
  <c r="B167" i="1" s="1"/>
  <c r="N164" i="1"/>
  <c r="N230" i="1"/>
  <c r="N231" i="1"/>
  <c r="N189" i="1"/>
  <c r="S189" i="1" s="1"/>
  <c r="N186" i="1"/>
  <c r="N183" i="1"/>
  <c r="B183" i="1" s="1"/>
  <c r="N180" i="1"/>
  <c r="N177" i="1"/>
  <c r="B177" i="1" s="1"/>
  <c r="N174" i="1"/>
  <c r="N171" i="1"/>
  <c r="N168" i="1"/>
  <c r="N165" i="1"/>
  <c r="S165" i="1" s="1"/>
  <c r="N232" i="1"/>
  <c r="N233" i="1"/>
  <c r="B233" i="1" s="1"/>
  <c r="N190" i="1"/>
  <c r="N187" i="1"/>
  <c r="B187" i="1" s="1"/>
  <c r="N184" i="1"/>
  <c r="N181" i="1"/>
  <c r="N178" i="1"/>
  <c r="N175" i="1"/>
  <c r="S175" i="1" s="1"/>
  <c r="N172" i="1"/>
  <c r="S172" i="1" s="1"/>
  <c r="N169" i="1"/>
  <c r="B169" i="1" s="1"/>
  <c r="N166" i="1"/>
  <c r="N234" i="1"/>
  <c r="S234" i="1" s="1"/>
  <c r="N235" i="1"/>
  <c r="N136" i="1"/>
  <c r="N130" i="1"/>
  <c r="N124" i="1"/>
  <c r="S124" i="1" s="1"/>
  <c r="N118" i="1"/>
  <c r="N112" i="1"/>
  <c r="B112" i="1" s="1"/>
  <c r="N106" i="1"/>
  <c r="N100" i="1"/>
  <c r="B100" i="1" s="1"/>
  <c r="N94" i="1"/>
  <c r="N88" i="1"/>
  <c r="N223" i="1"/>
  <c r="N238" i="1"/>
  <c r="S238" i="1" s="1"/>
  <c r="N236" i="1"/>
  <c r="S88" i="1" l="1"/>
  <c r="S181" i="1"/>
  <c r="S230" i="1"/>
  <c r="S141" i="1"/>
  <c r="S155" i="1"/>
  <c r="S99" i="1"/>
  <c r="S127" i="1"/>
  <c r="S108" i="1"/>
  <c r="S214" i="1"/>
  <c r="S66" i="1"/>
  <c r="S80" i="1"/>
  <c r="S46" i="1"/>
  <c r="S36" i="1"/>
  <c r="S203" i="1"/>
  <c r="S16" i="1"/>
  <c r="S6" i="1"/>
  <c r="S198" i="1"/>
  <c r="S20" i="1"/>
  <c r="S191" i="1"/>
  <c r="S136" i="1"/>
  <c r="S171" i="1"/>
  <c r="S185" i="1"/>
  <c r="S151" i="1"/>
  <c r="S225" i="1"/>
  <c r="S111" i="1"/>
  <c r="S219" i="1"/>
  <c r="S89" i="1"/>
  <c r="S76" i="1"/>
  <c r="S56" i="1"/>
  <c r="S50" i="1"/>
  <c r="B106" i="1"/>
  <c r="B166" i="1"/>
  <c r="B190" i="1"/>
  <c r="B180" i="1"/>
  <c r="B170" i="1"/>
  <c r="B228" i="1"/>
  <c r="B160" i="1"/>
  <c r="B150" i="1"/>
  <c r="B140" i="1"/>
  <c r="B222" i="1"/>
  <c r="B129" i="1"/>
  <c r="B116" i="1"/>
  <c r="B98" i="1"/>
  <c r="B217" i="1"/>
  <c r="B126" i="1"/>
  <c r="B107" i="1"/>
  <c r="B61" i="1"/>
  <c r="B212" i="1"/>
  <c r="B75" i="1"/>
  <c r="B65" i="1"/>
  <c r="B31" i="1"/>
  <c r="B55" i="1"/>
  <c r="B45" i="1"/>
  <c r="B35" i="1"/>
  <c r="B201" i="1"/>
  <c r="B25" i="1"/>
  <c r="B15" i="1"/>
  <c r="B5" i="1"/>
  <c r="B196" i="1"/>
  <c r="B178" i="1"/>
  <c r="B168" i="1"/>
  <c r="B148" i="1"/>
  <c r="B138" i="1"/>
  <c r="B105" i="1"/>
  <c r="B92" i="1"/>
  <c r="B102" i="1"/>
  <c r="B83" i="1"/>
  <c r="B63" i="1"/>
  <c r="B209" i="1"/>
  <c r="B33" i="1"/>
  <c r="B204" i="1"/>
  <c r="B3" i="1"/>
  <c r="B27" i="1"/>
  <c r="B232" i="1"/>
  <c r="B142" i="1"/>
  <c r="B146" i="1"/>
  <c r="B93" i="1"/>
  <c r="B221" i="1"/>
  <c r="B128" i="1"/>
  <c r="B109" i="1"/>
  <c r="B90" i="1"/>
  <c r="B216" i="1"/>
  <c r="B119" i="1"/>
  <c r="B67" i="1"/>
  <c r="B57" i="1"/>
  <c r="B81" i="1"/>
  <c r="B71" i="1"/>
  <c r="B37" i="1"/>
  <c r="B205" i="1"/>
  <c r="B51" i="1"/>
  <c r="B41" i="1"/>
  <c r="B7" i="1"/>
  <c r="B200" i="1"/>
  <c r="B21" i="1"/>
  <c r="B11" i="1"/>
  <c r="B194" i="1"/>
  <c r="S142" i="1"/>
  <c r="S51" i="1"/>
  <c r="B186" i="1"/>
  <c r="S93" i="1"/>
  <c r="S200" i="1"/>
  <c r="B118" i="1"/>
  <c r="B172" i="1"/>
  <c r="B176" i="1"/>
  <c r="B227" i="1"/>
  <c r="B156" i="1"/>
  <c r="S221" i="1"/>
  <c r="S21" i="1"/>
  <c r="B175" i="1"/>
  <c r="B145" i="1"/>
  <c r="B95" i="1"/>
  <c r="B97" i="1"/>
  <c r="B60" i="1"/>
  <c r="B30" i="1"/>
  <c r="B199" i="1"/>
  <c r="S169" i="1"/>
  <c r="S139" i="1"/>
  <c r="S87" i="1"/>
  <c r="S84" i="1"/>
  <c r="S211" i="1"/>
  <c r="S206" i="1"/>
  <c r="S28" i="1"/>
  <c r="B236" i="1"/>
  <c r="B165" i="1"/>
  <c r="B226" i="1"/>
  <c r="B86" i="1"/>
  <c r="B215" i="1"/>
  <c r="B210" i="1"/>
  <c r="B54" i="1"/>
  <c r="B24" i="1"/>
  <c r="S233" i="1"/>
  <c r="S163" i="1"/>
  <c r="S135" i="1"/>
  <c r="S132" i="1"/>
  <c r="S78" i="1"/>
  <c r="S48" i="1"/>
  <c r="S18" i="1"/>
  <c r="S232" i="1"/>
  <c r="S223" i="1"/>
  <c r="S130" i="1"/>
  <c r="S178" i="1"/>
  <c r="S168" i="1"/>
  <c r="S231" i="1"/>
  <c r="S182" i="1"/>
  <c r="S148" i="1"/>
  <c r="S138" i="1"/>
  <c r="S162" i="1"/>
  <c r="S152" i="1"/>
  <c r="S105" i="1"/>
  <c r="S92" i="1"/>
  <c r="S220" i="1"/>
  <c r="S121" i="1"/>
  <c r="S102" i="1"/>
  <c r="S83" i="1"/>
  <c r="S131" i="1"/>
  <c r="S73" i="1"/>
  <c r="S63" i="1"/>
  <c r="S209" i="1"/>
  <c r="S77" i="1"/>
  <c r="S43" i="1"/>
  <c r="S33" i="1"/>
  <c r="S204" i="1"/>
  <c r="S47" i="1"/>
  <c r="S13" i="1"/>
  <c r="S3" i="1"/>
  <c r="S27" i="1"/>
  <c r="S17" i="1"/>
  <c r="S192" i="1"/>
  <c r="B238" i="1"/>
  <c r="B189" i="1"/>
  <c r="B159" i="1"/>
  <c r="B134" i="1"/>
  <c r="B125" i="1"/>
  <c r="B74" i="1"/>
  <c r="B44" i="1"/>
  <c r="B14" i="1"/>
  <c r="S183" i="1"/>
  <c r="S153" i="1"/>
  <c r="S122" i="1"/>
  <c r="S113" i="1"/>
  <c r="S68" i="1"/>
  <c r="S38" i="1"/>
  <c r="S8" i="1"/>
  <c r="S227" i="1"/>
  <c r="B223" i="1"/>
  <c r="B231" i="1"/>
  <c r="B162" i="1"/>
  <c r="B220" i="1"/>
  <c r="B131" i="1"/>
  <c r="B77" i="1"/>
  <c r="B47" i="1"/>
  <c r="B17" i="1"/>
  <c r="S236" i="1"/>
  <c r="S186" i="1"/>
  <c r="S156" i="1"/>
  <c r="S128" i="1"/>
  <c r="S119" i="1"/>
  <c r="S71" i="1"/>
  <c r="S41" i="1"/>
  <c r="S11" i="1"/>
  <c r="S94" i="1"/>
  <c r="S235" i="1"/>
  <c r="S184" i="1"/>
  <c r="S174" i="1"/>
  <c r="S164" i="1"/>
  <c r="S188" i="1"/>
  <c r="S154" i="1"/>
  <c r="S144" i="1"/>
  <c r="S224" i="1"/>
  <c r="S158" i="1"/>
  <c r="S117" i="1"/>
  <c r="S104" i="1"/>
  <c r="S85" i="1"/>
  <c r="S133" i="1"/>
  <c r="S114" i="1"/>
  <c r="S96" i="1"/>
  <c r="S213" i="1"/>
  <c r="S79" i="1"/>
  <c r="S69" i="1"/>
  <c r="S59" i="1"/>
  <c r="S208" i="1"/>
  <c r="S49" i="1"/>
  <c r="S39" i="1"/>
  <c r="S29" i="1"/>
  <c r="S53" i="1"/>
  <c r="S19" i="1"/>
  <c r="S9" i="1"/>
  <c r="S197" i="1"/>
  <c r="S23" i="1"/>
  <c r="S237" i="1"/>
  <c r="B124" i="1"/>
  <c r="B179" i="1"/>
  <c r="B149" i="1"/>
  <c r="B115" i="1"/>
  <c r="B70" i="1"/>
  <c r="B40" i="1"/>
  <c r="B10" i="1"/>
  <c r="B193" i="1"/>
  <c r="S112" i="1"/>
  <c r="S173" i="1"/>
  <c r="S143" i="1"/>
  <c r="S103" i="1"/>
  <c r="S64" i="1"/>
  <c r="S34" i="1"/>
  <c r="S4" i="1"/>
  <c r="S195" i="1"/>
  <c r="B130" i="1"/>
  <c r="B182" i="1"/>
  <c r="B152" i="1"/>
  <c r="B121" i="1"/>
  <c r="B73" i="1"/>
  <c r="B43" i="1"/>
  <c r="B13" i="1"/>
  <c r="B192" i="1"/>
  <c r="S118" i="1"/>
  <c r="S176" i="1"/>
  <c r="S146" i="1"/>
  <c r="S109" i="1"/>
  <c r="S67" i="1"/>
  <c r="S37" i="1"/>
  <c r="S7" i="1"/>
  <c r="S194" i="1"/>
  <c r="B133" i="1"/>
  <c r="B59" i="1"/>
  <c r="B53" i="1"/>
  <c r="B237" i="1"/>
  <c r="B234" i="1"/>
  <c r="B147" i="1"/>
  <c r="B218" i="1"/>
  <c r="B62" i="1"/>
  <c r="B32" i="1"/>
  <c r="B2" i="1"/>
  <c r="S100" i="1"/>
  <c r="S187" i="1"/>
  <c r="S177" i="1"/>
  <c r="S167" i="1"/>
  <c r="S229" i="1"/>
  <c r="S157" i="1"/>
  <c r="S137" i="1"/>
  <c r="S161" i="1"/>
  <c r="S123" i="1"/>
  <c r="S110" i="1"/>
  <c r="S91" i="1"/>
  <c r="S120" i="1"/>
  <c r="S101" i="1"/>
  <c r="S58" i="1"/>
  <c r="S82" i="1"/>
  <c r="S72" i="1"/>
  <c r="S207" i="1"/>
  <c r="S52" i="1"/>
  <c r="S42" i="1"/>
  <c r="S202" i="1"/>
  <c r="S22" i="1"/>
  <c r="S12" i="1"/>
  <c r="S26" i="1"/>
  <c r="B235" i="1"/>
  <c r="B164" i="1"/>
  <c r="B144" i="1"/>
  <c r="B104" i="1"/>
  <c r="B213" i="1"/>
  <c r="B208" i="1"/>
  <c r="B29" i="1"/>
  <c r="B197" i="1"/>
  <c r="S106" i="1"/>
  <c r="S166" i="1"/>
  <c r="S190" i="1"/>
  <c r="S180" i="1"/>
  <c r="S170" i="1"/>
  <c r="S228" i="1"/>
  <c r="S160" i="1"/>
  <c r="S150" i="1"/>
  <c r="S140" i="1"/>
  <c r="S222" i="1"/>
  <c r="S129" i="1"/>
  <c r="S116" i="1"/>
  <c r="S98" i="1"/>
  <c r="S217" i="1"/>
  <c r="S126" i="1"/>
  <c r="S107" i="1"/>
  <c r="S61" i="1"/>
  <c r="S212" i="1"/>
  <c r="S75" i="1"/>
  <c r="S65" i="1"/>
  <c r="S31" i="1"/>
  <c r="S55" i="1"/>
  <c r="S45" i="1"/>
  <c r="S35" i="1"/>
  <c r="S201" i="1"/>
  <c r="S25" i="1"/>
  <c r="S15" i="1"/>
  <c r="S5" i="1"/>
  <c r="S196" i="1"/>
  <c r="B88" i="1"/>
  <c r="B136" i="1"/>
  <c r="B181" i="1"/>
  <c r="B171" i="1"/>
  <c r="B230" i="1"/>
  <c r="B185" i="1"/>
  <c r="B151" i="1"/>
  <c r="B141" i="1"/>
  <c r="B225" i="1"/>
  <c r="B155" i="1"/>
  <c r="B111" i="1"/>
  <c r="B99" i="1"/>
  <c r="B219" i="1"/>
  <c r="B127" i="1"/>
  <c r="B108" i="1"/>
  <c r="B89" i="1"/>
  <c r="B214" i="1"/>
  <c r="B76" i="1"/>
  <c r="B66" i="1"/>
  <c r="B56" i="1"/>
  <c r="B80" i="1"/>
  <c r="B46" i="1"/>
  <c r="B36" i="1"/>
  <c r="B203" i="1"/>
  <c r="B50" i="1"/>
  <c r="B16" i="1"/>
  <c r="B6" i="1"/>
  <c r="B198" i="1"/>
  <c r="B20" i="1"/>
  <c r="B191" i="1"/>
  <c r="B174" i="1"/>
  <c r="B154" i="1"/>
  <c r="B158" i="1"/>
  <c r="B85" i="1"/>
  <c r="B96" i="1"/>
  <c r="B69" i="1"/>
  <c r="B49" i="1"/>
  <c r="B9" i="1"/>
  <c r="B94" i="1"/>
  <c r="B184" i="1"/>
  <c r="B188" i="1"/>
  <c r="B224" i="1"/>
  <c r="B117" i="1"/>
  <c r="B114" i="1"/>
  <c r="B79" i="1"/>
  <c r="B39" i="1"/>
  <c r="B19" i="1"/>
  <c r="B23" i="1"/>
</calcChain>
</file>

<file path=xl/sharedStrings.xml><?xml version="1.0" encoding="utf-8"?>
<sst xmlns="http://schemas.openxmlformats.org/spreadsheetml/2006/main" count="2868" uniqueCount="672">
  <si>
    <t>SAMPLE_ID</t>
  </si>
  <si>
    <t>PLATE_ID</t>
  </si>
  <si>
    <t>LOCATION_ID</t>
  </si>
  <si>
    <t>CELL_ID</t>
  </si>
  <si>
    <t>TREATMENT</t>
  </si>
  <si>
    <t>REPLICATE</t>
  </si>
  <si>
    <t>TIMEPOINT</t>
  </si>
  <si>
    <t>EXP_ID</t>
  </si>
  <si>
    <t>CONCENTRATION</t>
  </si>
  <si>
    <t>meanID</t>
  </si>
  <si>
    <t>SAMPLENAME</t>
  </si>
  <si>
    <t>LIB_SIZE</t>
  </si>
  <si>
    <t>ReadDepth</t>
  </si>
  <si>
    <t>VariableQCs</t>
  </si>
  <si>
    <t>S_MAQC1</t>
  </si>
  <si>
    <t>LEIDEN_TQ_RPTEC_CSP1</t>
  </si>
  <si>
    <t>G1</t>
  </si>
  <si>
    <t>NA</t>
  </si>
  <si>
    <t>S_MAQC2</t>
  </si>
  <si>
    <t>S_0h_DMEM_Rep1</t>
  </si>
  <si>
    <t>G2</t>
  </si>
  <si>
    <t>DMEM</t>
  </si>
  <si>
    <t>S_0h_DMEM_Rep2</t>
  </si>
  <si>
    <t>G3</t>
  </si>
  <si>
    <t>S_0h_DMEM_Rep3</t>
  </si>
  <si>
    <t>G4</t>
  </si>
  <si>
    <t>S_0h_DMEM_Rep4</t>
  </si>
  <si>
    <t>H2</t>
  </si>
  <si>
    <t>S_0h_DMEM_Rep5</t>
  </si>
  <si>
    <t>H3</t>
  </si>
  <si>
    <t>S_0h_DMEM_Rep6</t>
  </si>
  <si>
    <t>H4</t>
  </si>
  <si>
    <t>S_4h_Cis1_Rep1</t>
  </si>
  <si>
    <t>A02</t>
  </si>
  <si>
    <t>S_4h_Cis2_Rep1</t>
  </si>
  <si>
    <t>A03</t>
  </si>
  <si>
    <t>S_4h_Cis3_Rep1</t>
  </si>
  <si>
    <t>A04</t>
  </si>
  <si>
    <t>S_4h_Cis4_Rep1</t>
  </si>
  <si>
    <t>A05</t>
  </si>
  <si>
    <t>S_4h_Cis5_Rep1</t>
  </si>
  <si>
    <t>A06</t>
  </si>
  <si>
    <t>S_4h_Cis6_Rep1</t>
  </si>
  <si>
    <t>A07</t>
  </si>
  <si>
    <t>S_4h_Cis7_Rep1</t>
  </si>
  <si>
    <t>A08</t>
  </si>
  <si>
    <t>S_4h_Cis8_Rep1</t>
  </si>
  <si>
    <t>A09</t>
  </si>
  <si>
    <t>S_4h_Cis9_Rep1</t>
  </si>
  <si>
    <t>A10</t>
  </si>
  <si>
    <t>S_4h_DMEM_Rep1</t>
  </si>
  <si>
    <t>A11</t>
  </si>
  <si>
    <t>S_4h_DMEM_Rep2</t>
  </si>
  <si>
    <t>A12</t>
  </si>
  <si>
    <t>S_4h_Cis1_Rep2</t>
  </si>
  <si>
    <t>B02</t>
  </si>
  <si>
    <t>S_4h_Cis2_Rep2</t>
  </si>
  <si>
    <t>B03</t>
  </si>
  <si>
    <t>S_4h_Cis3_Rep2</t>
  </si>
  <si>
    <t>B04</t>
  </si>
  <si>
    <t>S_4h_Cis4_Rep2</t>
  </si>
  <si>
    <t>B05</t>
  </si>
  <si>
    <t>S_4h_Cis5_Rep2</t>
  </si>
  <si>
    <t>B06</t>
  </si>
  <si>
    <t>S_4h_Cis6_Rep2</t>
  </si>
  <si>
    <t>B07</t>
  </si>
  <si>
    <t>S_4h_Cis7_Rep2</t>
  </si>
  <si>
    <t>B08</t>
  </si>
  <si>
    <t>S_4h_Cis8_Rep2</t>
  </si>
  <si>
    <t>B09</t>
  </si>
  <si>
    <t>S_4h_Cis9_Rep2</t>
  </si>
  <si>
    <t>B10</t>
  </si>
  <si>
    <t>S_4h_DMEM_Rep3</t>
  </si>
  <si>
    <t>B11</t>
  </si>
  <si>
    <t>S_4h_DMEM_Rep4</t>
  </si>
  <si>
    <t>B12</t>
  </si>
  <si>
    <t>S_4h_Cis1_Rep3</t>
  </si>
  <si>
    <t>C02</t>
  </si>
  <si>
    <t>S_4h_Cis2_Rep3</t>
  </si>
  <si>
    <t>C03</t>
  </si>
  <si>
    <t>S_4h_Cis3_Rep3</t>
  </si>
  <si>
    <t>C04</t>
  </si>
  <si>
    <t>S_4h_Cis4_Rep3</t>
  </si>
  <si>
    <t>C05</t>
  </si>
  <si>
    <t>S_4h_Cis5_Rep3</t>
  </si>
  <si>
    <t>C06</t>
  </si>
  <si>
    <t>S_4h_Cis6_Rep3</t>
  </si>
  <si>
    <t>C07</t>
  </si>
  <si>
    <t>S_4h_Cis7_Rep3</t>
  </si>
  <si>
    <t>C08</t>
  </si>
  <si>
    <t>S_4h_Cis8_Rep3</t>
  </si>
  <si>
    <t>C09</t>
  </si>
  <si>
    <t>S_4h_Cis9_Rep3</t>
  </si>
  <si>
    <t>C10</t>
  </si>
  <si>
    <t>S_4h_DMEM_Rep5</t>
  </si>
  <si>
    <t>C11</t>
  </si>
  <si>
    <t>S_4h_DMEM_Rep6</t>
  </si>
  <si>
    <t>C12</t>
  </si>
  <si>
    <t>S_8h_Cis1_Rep1</t>
  </si>
  <si>
    <t>LEIDEN_TQ_RPTEC_CSP2</t>
  </si>
  <si>
    <t>D02</t>
  </si>
  <si>
    <t>S_8h_Cis2_Rep1</t>
  </si>
  <si>
    <t>D03</t>
  </si>
  <si>
    <t>S_8h_Cis3_Rep1</t>
  </si>
  <si>
    <t>D04</t>
  </si>
  <si>
    <t>S_8h_Cis4_Rep1</t>
  </si>
  <si>
    <t>D05</t>
  </si>
  <si>
    <t>S_8h_Cis5_Rep1</t>
  </si>
  <si>
    <t>D06</t>
  </si>
  <si>
    <t>S_8h_Cis6_Rep1</t>
  </si>
  <si>
    <t>D07</t>
  </si>
  <si>
    <t>S_8h_Cis7_Rep1</t>
  </si>
  <si>
    <t>D08</t>
  </si>
  <si>
    <t>S_8h_Cis8_Rep1</t>
  </si>
  <si>
    <t>D09</t>
  </si>
  <si>
    <t>S_8h_Cis9_Rep1</t>
  </si>
  <si>
    <t>D10</t>
  </si>
  <si>
    <t>S_8h_DMEM_Rep1</t>
  </si>
  <si>
    <t>D11</t>
  </si>
  <si>
    <t>S_8h_DMEM_Rep2</t>
  </si>
  <si>
    <t>D12</t>
  </si>
  <si>
    <t>S_8h_Cis1_Rep2</t>
  </si>
  <si>
    <t>E02</t>
  </si>
  <si>
    <t>S_8h_Cis2_Rep2</t>
  </si>
  <si>
    <t>E03</t>
  </si>
  <si>
    <t>S_8h_Cis3_Rep2</t>
  </si>
  <si>
    <t>E04</t>
  </si>
  <si>
    <t>S_8h_Cis4_Rep2</t>
  </si>
  <si>
    <t>E05</t>
  </si>
  <si>
    <t>S_8h_Cis5_Rep2</t>
  </si>
  <si>
    <t>E06</t>
  </si>
  <si>
    <t>S_8h_Cis6_Rep2</t>
  </si>
  <si>
    <t>E07</t>
  </si>
  <si>
    <t>S_8h_Cis7_Rep2</t>
  </si>
  <si>
    <t>E08</t>
  </si>
  <si>
    <t>S_8h_Cis8_Rep2</t>
  </si>
  <si>
    <t>E09</t>
  </si>
  <si>
    <t>S_8h_Cis9_Rep2</t>
  </si>
  <si>
    <t>E10</t>
  </si>
  <si>
    <t>S_8h_DMEM_Rep3</t>
  </si>
  <si>
    <t>E11</t>
  </si>
  <si>
    <t>S_8h_DMEM_Rep4</t>
  </si>
  <si>
    <t>E12</t>
  </si>
  <si>
    <t>S_8h_Cis1_Rep3</t>
  </si>
  <si>
    <t>F02</t>
  </si>
  <si>
    <t>S_8h_Cis2_Rep3</t>
  </si>
  <si>
    <t>F03</t>
  </si>
  <si>
    <t>S_8h_Cis3_Rep3</t>
  </si>
  <si>
    <t>F04</t>
  </si>
  <si>
    <t>S_8h_Cis4_Rep3</t>
  </si>
  <si>
    <t>F05</t>
  </si>
  <si>
    <t>S_8h_Cis5_Rep3</t>
  </si>
  <si>
    <t>F06</t>
  </si>
  <si>
    <t>S_8h_Cis6_Rep3</t>
  </si>
  <si>
    <t>F07</t>
  </si>
  <si>
    <t>S_8h_Cis7_Rep3</t>
  </si>
  <si>
    <t>F08</t>
  </si>
  <si>
    <t>S_8h_Cis8_Rep3</t>
  </si>
  <si>
    <t>F09</t>
  </si>
  <si>
    <t>S_8h_Cis9_Rep3</t>
  </si>
  <si>
    <t>F10</t>
  </si>
  <si>
    <t>S_8h_DMEM_Rep5</t>
  </si>
  <si>
    <t>F11</t>
  </si>
  <si>
    <t>S_8h_DMEM_Rep6</t>
  </si>
  <si>
    <t>F12</t>
  </si>
  <si>
    <t>S_16h_Cis1_Rep1</t>
  </si>
  <si>
    <t>S_16h_Cis2_Rep1</t>
  </si>
  <si>
    <t>S_16h_Cis3_Rep1</t>
  </si>
  <si>
    <t>S_16h_Cis4_Rep1</t>
  </si>
  <si>
    <t>S_16h_Cis5_Rep1</t>
  </si>
  <si>
    <t>S_16h_Cis6_Rep1</t>
  </si>
  <si>
    <t>S_16h_Cis7_Rep1</t>
  </si>
  <si>
    <t>S_16h_Cis8_Rep1</t>
  </si>
  <si>
    <t>S_16h_Cis9_Rep1</t>
  </si>
  <si>
    <t>S_16h_DMEM_Rep1</t>
  </si>
  <si>
    <t>S_16h_DMEM_Rep2</t>
  </si>
  <si>
    <t>S_16h_Cis1_Rep2</t>
  </si>
  <si>
    <t>S_16h_Cis2_Rep2</t>
  </si>
  <si>
    <t>S_16h_Cis3_Rep2</t>
  </si>
  <si>
    <t>S_16h_Cis4_Rep2</t>
  </si>
  <si>
    <t>S_16h_Cis5_Rep2</t>
  </si>
  <si>
    <t>S_16h_Cis6_Rep2</t>
  </si>
  <si>
    <t>S_16h_Cis7_Rep2</t>
  </si>
  <si>
    <t>S_16h_Cis8_Rep2</t>
  </si>
  <si>
    <t>S_16h_Cis9_Rep2</t>
  </si>
  <si>
    <t>S_16h_DMEM_Rep3</t>
  </si>
  <si>
    <t>S_16h_DMEM_Rep4</t>
  </si>
  <si>
    <t>S_16h_Cis1_Rep3</t>
  </si>
  <si>
    <t>S_16h_Cis2_Rep3</t>
  </si>
  <si>
    <t>S_16h_Cis3_Rep3</t>
  </si>
  <si>
    <t>S_16h_Cis4_Rep3</t>
  </si>
  <si>
    <t>S_16h_Cis5_Rep3</t>
  </si>
  <si>
    <t>S_16h_Cis6_Rep3</t>
  </si>
  <si>
    <t>S_16h_Cis7_Rep3</t>
  </si>
  <si>
    <t>S_16h_Cis8_Rep3</t>
  </si>
  <si>
    <t>S_16h_Cis9_Rep3</t>
  </si>
  <si>
    <t>S_16h_DMEM_Rep5</t>
  </si>
  <si>
    <t>S_16h_DMEM_Rep6</t>
  </si>
  <si>
    <t>S_24h_Cis1_Rep1</t>
  </si>
  <si>
    <t>S_24h_Cis2_Rep1</t>
  </si>
  <si>
    <t>S_24h_Cis3_Rep1</t>
  </si>
  <si>
    <t>S_24h_Cis4_Rep1</t>
  </si>
  <si>
    <t>S_24h_Cis5_Rep1</t>
  </si>
  <si>
    <t>S_24h_Cis6_Rep1</t>
  </si>
  <si>
    <t>S_24h_Cis7_Rep1</t>
  </si>
  <si>
    <t>S_24h_Cis8_Rep1</t>
  </si>
  <si>
    <t>S_24h_Cis9_Rep1</t>
  </si>
  <si>
    <t>S_24h_DMEM_Rep1</t>
  </si>
  <si>
    <t>S_24h_DMEM_Rep2</t>
  </si>
  <si>
    <t>S_24h_Cis1_Rep2</t>
  </si>
  <si>
    <t>S_24h_Cis2_Rep2</t>
  </si>
  <si>
    <t>S_24h_Cis3_Rep2</t>
  </si>
  <si>
    <t>S_24h_Cis4_Rep2</t>
  </si>
  <si>
    <t>S_24h_Cis5_Rep2</t>
  </si>
  <si>
    <t>S_24h_Cis6_Rep2</t>
  </si>
  <si>
    <t>S_24h_Cis7_Rep2</t>
  </si>
  <si>
    <t>S_24h_Cis8_Rep2</t>
  </si>
  <si>
    <t>S_24h_Cis9_Rep2</t>
  </si>
  <si>
    <t>S_24h_DMEM_Rep3</t>
  </si>
  <si>
    <t>S_24h_DMEM_Rep4</t>
  </si>
  <si>
    <t>S_24h_Cis1_Rep3</t>
  </si>
  <si>
    <t>S_24h_Cis2_Rep3</t>
  </si>
  <si>
    <t>S_24h_Cis3_Rep3</t>
  </si>
  <si>
    <t>S_24h_Cis4_Rep3</t>
  </si>
  <si>
    <t>S_24h_Cis5_Rep3</t>
  </si>
  <si>
    <t>S_24h_Cis6_Rep3</t>
  </si>
  <si>
    <t>S_24h_Cis7_Rep3</t>
  </si>
  <si>
    <t>S_24h_Cis8_Rep3</t>
  </si>
  <si>
    <t>S_24h_Cis9_Rep3</t>
  </si>
  <si>
    <t>S_24h_DMEM_Rep5</t>
  </si>
  <si>
    <t>S_24h_DMEM_Rep6</t>
  </si>
  <si>
    <t>S_24h_Cis1_JRep1</t>
  </si>
  <si>
    <t>G02</t>
  </si>
  <si>
    <t>S_24h_Cis2_JRep1</t>
  </si>
  <si>
    <t>G03</t>
  </si>
  <si>
    <t>S_24h_Cis3_JRep1</t>
  </si>
  <si>
    <t>G04</t>
  </si>
  <si>
    <t>S_24h_Cis4_JRep1</t>
  </si>
  <si>
    <t>G05</t>
  </si>
  <si>
    <t>S_24h_Cis5_JRep1</t>
  </si>
  <si>
    <t>G06</t>
  </si>
  <si>
    <t>S_24h_Cis6_JRep1</t>
  </si>
  <si>
    <t>G07</t>
  </si>
  <si>
    <t>S_24h_Cis7_JRep1</t>
  </si>
  <si>
    <t>G08</t>
  </si>
  <si>
    <t>S_24h_Cis8_JRep1</t>
  </si>
  <si>
    <t>G09</t>
  </si>
  <si>
    <t>S_24h_Cis9_JRep1</t>
  </si>
  <si>
    <t>G10</t>
  </si>
  <si>
    <t>S_24h_DMEM_JRep1</t>
  </si>
  <si>
    <t>G11</t>
  </si>
  <si>
    <t>S_24h_Cis1_JRep2</t>
  </si>
  <si>
    <t>H02</t>
  </si>
  <si>
    <t>S_24h_Cis2_JRep2</t>
  </si>
  <si>
    <t>H03</t>
  </si>
  <si>
    <t>S_24h_Cis3_JRep2</t>
  </si>
  <si>
    <t>H04</t>
  </si>
  <si>
    <t>S_24h_Cis4_JRep2</t>
  </si>
  <si>
    <t>H05</t>
  </si>
  <si>
    <t>S_24h_Cis5_JRep2</t>
  </si>
  <si>
    <t>H06</t>
  </si>
  <si>
    <t>S_24h_Cis6_JRep2</t>
  </si>
  <si>
    <t>H07</t>
  </si>
  <si>
    <t>S_24h_Cis7_JRep2</t>
  </si>
  <si>
    <t>H08</t>
  </si>
  <si>
    <t>S_24h_Cis8_JRep2</t>
  </si>
  <si>
    <t>H09</t>
  </si>
  <si>
    <t>S_24h_Cis9_JRep2</t>
  </si>
  <si>
    <t>H10</t>
  </si>
  <si>
    <t>S_24h_DMEM_JRep2</t>
  </si>
  <si>
    <t>H11</t>
  </si>
  <si>
    <t>S_48h_Cis1_Rep1</t>
  </si>
  <si>
    <t>LEIDEN_TQ_RPTEC_CSP3</t>
  </si>
  <si>
    <t>S_48h_Cis2_Rep1</t>
  </si>
  <si>
    <t>S_48h_Cis3_Rep1</t>
  </si>
  <si>
    <t>S_48h_Cis4_Rep1</t>
  </si>
  <si>
    <t>S_48h_Cis5_Rep1</t>
  </si>
  <si>
    <t>S_48h_Cis6_Rep1</t>
  </si>
  <si>
    <t>S_48h_Cis7_Rep1</t>
  </si>
  <si>
    <t>S_48h_Cis8_Rep1</t>
  </si>
  <si>
    <t>S_48h_Cis9_Rep1</t>
  </si>
  <si>
    <t>S_48h_DMEM_Rep1</t>
  </si>
  <si>
    <t>S_48h_DMEM_Rep2</t>
  </si>
  <si>
    <t>S_48h_Cis1_Rep2</t>
  </si>
  <si>
    <t>S_48h_Cis2_Rep2</t>
  </si>
  <si>
    <t>S_48h_Cis3_Rep2</t>
  </si>
  <si>
    <t>S_48h_Cis4_Rep2</t>
  </si>
  <si>
    <t>S_48h_Cis5_Rep2</t>
  </si>
  <si>
    <t>S_48h_Cis6_Rep2</t>
  </si>
  <si>
    <t>S_48h_Cis7_Rep2</t>
  </si>
  <si>
    <t>S_48h_Cis8_Rep2</t>
  </si>
  <si>
    <t>S_48h_Cis9_Rep2</t>
  </si>
  <si>
    <t>S_48h_DMEM_Rep3</t>
  </si>
  <si>
    <t>S_48h_DMEM_Rep4</t>
  </si>
  <si>
    <t>S_48h_Cis1_Rep3</t>
  </si>
  <si>
    <t>S_48h_Cis2_Rep3</t>
  </si>
  <si>
    <t>S_48h_Cis3_Rep3</t>
  </si>
  <si>
    <t>S_48h_Cis4_Rep3</t>
  </si>
  <si>
    <t>S_48h_Cis5_Rep3</t>
  </si>
  <si>
    <t>S_48h_Cis6_Rep3</t>
  </si>
  <si>
    <t>S_48h_Cis7_Rep3</t>
  </si>
  <si>
    <t>S_48h_Cis8_Rep3</t>
  </si>
  <si>
    <t>S_48h_Cis9_Rep3</t>
  </si>
  <si>
    <t>S_48h_DMEM_Rep5</t>
  </si>
  <si>
    <t>S_48h_DMEM_Rep6</t>
  </si>
  <si>
    <t>S_72h_Cis1_Rep1</t>
  </si>
  <si>
    <t>S_72h_Cis2_Rep1</t>
  </si>
  <si>
    <t>S_72h_Cis3_Rep1</t>
  </si>
  <si>
    <t>S_72h_Cis4_Rep1</t>
  </si>
  <si>
    <t>S_72h_Cis5_Rep1</t>
  </si>
  <si>
    <t>S_72h_Cis6_Rep1</t>
  </si>
  <si>
    <t>S_72h_Cis7_Rep1</t>
  </si>
  <si>
    <t>S_72h_Cis8_Rep1</t>
  </si>
  <si>
    <t>S_72h_Cis9_Rep1</t>
  </si>
  <si>
    <t>S_72h_DMEM_Rep1</t>
  </si>
  <si>
    <t>S_72h_DMEM_Rep2</t>
  </si>
  <si>
    <t>S_72h_Cis1_Rep2</t>
  </si>
  <si>
    <t>S_72h_Cis2_Rep2</t>
  </si>
  <si>
    <t>S_72h_Cis3_Rep2</t>
  </si>
  <si>
    <t>S_72h_Cis4_Rep2</t>
  </si>
  <si>
    <t>S_72h_Cis5_Rep2</t>
  </si>
  <si>
    <t>S_72h_Cis6_Rep2</t>
  </si>
  <si>
    <t>S_72h_Cis7_Rep2</t>
  </si>
  <si>
    <t>S_72h_Cis8_Rep2</t>
  </si>
  <si>
    <t>S_72h_Cis9_Rep2</t>
  </si>
  <si>
    <t>S_72h_DMEM_Rep3</t>
  </si>
  <si>
    <t>S_72h_DMEM_Rep4</t>
  </si>
  <si>
    <t>S_72h_Cis1_Rep3</t>
  </si>
  <si>
    <t>S_72h_Cis2_Rep3</t>
  </si>
  <si>
    <t>S_72h_Cis3_Rep3</t>
  </si>
  <si>
    <t>S_72h_Cis4_Rep3</t>
  </si>
  <si>
    <t>S_72h_Cis5_Rep3</t>
  </si>
  <si>
    <t>S_72h_Cis6_Rep3</t>
  </si>
  <si>
    <t>S_72h_Cis7_Rep3</t>
  </si>
  <si>
    <t>S_72h_Cis8_Rep3</t>
  </si>
  <si>
    <t>S_72h_Cis9_Rep3</t>
  </si>
  <si>
    <t>S_72h_DMEM_Rep5</t>
  </si>
  <si>
    <t>S_72h_DMEM_Rep6</t>
  </si>
  <si>
    <t>S_24h_Cis1_JRep3</t>
  </si>
  <si>
    <t>S_24h_Cis2_JRep3</t>
  </si>
  <si>
    <t>S_24h_Cis3_JRep3</t>
  </si>
  <si>
    <t>S_24h_Cis4_JRep3</t>
  </si>
  <si>
    <t>S_24h_Cis5_JRep3</t>
  </si>
  <si>
    <t>S_24h_Cis6_JRep3</t>
  </si>
  <si>
    <t>S_24h_Cis7_JRep3</t>
  </si>
  <si>
    <t>S_24h_Cis8_JRep3</t>
  </si>
  <si>
    <t>S_24h_Cis9_JRep3</t>
  </si>
  <si>
    <t>S_24h_DMEM_JRep3</t>
  </si>
  <si>
    <t>S_no_Sample</t>
  </si>
  <si>
    <t>G01</t>
  </si>
  <si>
    <t>RPTEC-TERT1</t>
  </si>
  <si>
    <t>SAMPLE</t>
  </si>
  <si>
    <t>PLATE_NR</t>
  </si>
  <si>
    <t>WELL_ID</t>
  </si>
  <si>
    <t>SPECIES</t>
  </si>
  <si>
    <t>COMPOUND</t>
  </si>
  <si>
    <t>COMPOUND_ABBR</t>
  </si>
  <si>
    <t>TIME</t>
  </si>
  <si>
    <t>DOSE</t>
  </si>
  <si>
    <t>DOSE_LEVEL</t>
  </si>
  <si>
    <t>TREATMENT_ID</t>
  </si>
  <si>
    <t>Transcriptomic_CSP_RPTEC_NA_NA_conc0_TP0</t>
  </si>
  <si>
    <t>Transcriptomic_CSP_RPTEC_NA_NA_TP0_conc0_rep1</t>
  </si>
  <si>
    <t>Transcriptomic_CSP_RPTEC_NA_NA_TP0_conc0_rep2</t>
  </si>
  <si>
    <t>Transcriptomic_CSP_RPTEC_RPTEC-TERT1_DMEM_conc0_TP0</t>
  </si>
  <si>
    <t>Transcriptomic_CSP_RPTEC_RPTEC-TERT1_DMEM_TP0_conc0_rep1</t>
  </si>
  <si>
    <t>Transcriptomic_CSP_RPTEC_RPTEC-TERT1_DMEM_TP0_conc0_rep2</t>
  </si>
  <si>
    <t>Transcriptomic_CSP_RPTEC_RPTEC-TERT1_DMEM_TP0_conc0_rep3</t>
  </si>
  <si>
    <t>Transcriptomic_CSP_RPTEC_RPTEC-TERT1_DMEM_TP0_conc0_rep4</t>
  </si>
  <si>
    <t>Transcriptomic_CSP_RPTEC_RPTEC-TERT1_DMEM_TP0_conc0_rep5</t>
  </si>
  <si>
    <t>Transcriptomic_CSP_RPTEC_RPTEC-TERT1_DMEM_TP0_conc0_rep6</t>
  </si>
  <si>
    <t>CSP</t>
  </si>
  <si>
    <t>Transcriptomic_CSP_RPTEC_RPTEC-TERT1_CSP_conc50_TP4</t>
  </si>
  <si>
    <t>Transcriptomic_CSP_RPTEC_RPTEC-TERT1_CSP_TP4_conc50_rep1</t>
  </si>
  <si>
    <t>Transcriptomic_CSP_RPTEC_RPTEC-TERT1_CSP_conc30_TP4</t>
  </si>
  <si>
    <t>Transcriptomic_CSP_RPTEC_RPTEC-TERT1_CSP_TP4_conc30_rep1</t>
  </si>
  <si>
    <t>Transcriptomic_CSP_RPTEC_RPTEC-TERT1_CSP_conc20_TP4</t>
  </si>
  <si>
    <t>Transcriptomic_CSP_RPTEC_RPTEC-TERT1_CSP_TP4_conc20_rep1</t>
  </si>
  <si>
    <t>Transcriptomic_CSP_RPTEC_RPTEC-TERT1_CSP_conc10_TP4</t>
  </si>
  <si>
    <t>Transcriptomic_CSP_RPTEC_RPTEC-TERT1_CSP_TP4_conc10_rep1</t>
  </si>
  <si>
    <t>Transcriptomic_CSP_RPTEC_RPTEC-TERT1_CSP_conc5_TP4</t>
  </si>
  <si>
    <t>Transcriptomic_CSP_RPTEC_RPTEC-TERT1_CSP_TP4_conc5_rep1</t>
  </si>
  <si>
    <t>Transcriptomic_CSP_RPTEC_RPTEC-TERT1_CSP_conc2.5_TP4</t>
  </si>
  <si>
    <t>Transcriptomic_CSP_RPTEC_RPTEC-TERT1_CSP_TP4_conc2.5_rep1</t>
  </si>
  <si>
    <t>Transcriptomic_CSP_RPTEC_RPTEC-TERT1_CSP_conc1_TP4</t>
  </si>
  <si>
    <t>Transcriptomic_CSP_RPTEC_RPTEC-TERT1_CSP_TP4_conc1_rep1</t>
  </si>
  <si>
    <t>Transcriptomic_CSP_RPTEC_RPTEC-TERT1_CSP_conc0.5_TP4</t>
  </si>
  <si>
    <t>Transcriptomic_CSP_RPTEC_RPTEC-TERT1_CSP_TP4_conc0.5_rep1</t>
  </si>
  <si>
    <t>Transcriptomic_CSP_RPTEC_RPTEC-TERT1_CSP_conc0.1_TP4</t>
  </si>
  <si>
    <t>Transcriptomic_CSP_RPTEC_RPTEC-TERT1_CSP_TP4_conc0.1_rep3</t>
  </si>
  <si>
    <t>Transcriptomic_CSP_RPTEC_RPTEC-TERT1_DMEM_conc0_TP4</t>
  </si>
  <si>
    <t>Transcriptomic_CSP_RPTEC_RPTEC-TERT1_DMEM_TP4_conc0_rep1</t>
  </si>
  <si>
    <t>Transcriptomic_CSP_RPTEC_RPTEC-TERT1_DMEM_TP4_conc0_rep2</t>
  </si>
  <si>
    <t>Transcriptomic_CSP_RPTEC_RPTEC-TERT1_CSP_TP4_conc50_rep2</t>
  </si>
  <si>
    <t>Transcriptomic_CSP_RPTEC_RPTEC-TERT1_CSP_TP4_conc30_rep2</t>
  </si>
  <si>
    <t>Transcriptomic_CSP_RPTEC_RPTEC-TERT1_CSP_TP4_conc20_rep2</t>
  </si>
  <si>
    <t>Transcriptomic_CSP_RPTEC_RPTEC-TERT1_CSP_TP4_conc10_rep2</t>
  </si>
  <si>
    <t>Transcriptomic_CSP_RPTEC_RPTEC-TERT1_CSP_TP4_conc5_rep2</t>
  </si>
  <si>
    <t>Transcriptomic_CSP_RPTEC_RPTEC-TERT1_CSP_TP4_conc2.5_rep2</t>
  </si>
  <si>
    <t>Transcriptomic_CSP_RPTEC_RPTEC-TERT1_CSP_TP4_conc1_rep2</t>
  </si>
  <si>
    <t>Transcriptomic_CSP_RPTEC_RPTEC-TERT1_CSP_TP4_conc0.5_rep2</t>
  </si>
  <si>
    <t>Transcriptomic_CSP_RPTEC_RPTEC-TERT1_CSP_TP4_conc0.1_rep2</t>
  </si>
  <si>
    <t>Transcriptomic_CSP_RPTEC_RPTEC-TERT1_DMEM_TP4_conc0_rep3</t>
  </si>
  <si>
    <t>Transcriptomic_CSP_RPTEC_RPTEC-TERT1_DMEM_TP4_conc0_rep4</t>
  </si>
  <si>
    <t>Transcriptomic_CSP_RPTEC_RPTEC-TERT1_CSP_TP4_conc50_rep3</t>
  </si>
  <si>
    <t>Transcriptomic_CSP_RPTEC_RPTEC-TERT1_CSP_TP4_conc30_rep3</t>
  </si>
  <si>
    <t>Transcriptomic_CSP_RPTEC_RPTEC-TERT1_CSP_TP4_conc20_rep3</t>
  </si>
  <si>
    <t>Transcriptomic_CSP_RPTEC_RPTEC-TERT1_CSP_TP4_conc10_rep3</t>
  </si>
  <si>
    <t>Transcriptomic_CSP_RPTEC_RPTEC-TERT1_CSP_TP4_conc5_rep3</t>
  </si>
  <si>
    <t>Transcriptomic_CSP_RPTEC_RPTEC-TERT1_CSP_TP4_conc2.5_rep3</t>
  </si>
  <si>
    <t>Transcriptomic_CSP_RPTEC_RPTEC-TERT1_CSP_TP4_conc1_rep3</t>
  </si>
  <si>
    <t>Transcriptomic_CSP_RPTEC_RPTEC-TERT1_CSP_TP4_conc0.5_rep3</t>
  </si>
  <si>
    <t>Transcriptomic_CSP_RPTEC_RPTEC-TERT1_DMEM_TP4_conc0_rep5</t>
  </si>
  <si>
    <t>Transcriptomic_CSP_RPTEC_RPTEC-TERT1_DMEM_TP4_conc0_rep6</t>
  </si>
  <si>
    <t>Transcriptomic_CSP_RPTEC_RPTEC-TERT1_CSP_conc50_TP8</t>
  </si>
  <si>
    <t>Transcriptomic_CSP_RPTEC_RPTEC-TERT1_CSP_TP8_conc50_rep1</t>
  </si>
  <si>
    <t>Transcriptomic_CSP_RPTEC_RPTEC-TERT1_CSP_conc30_TP8</t>
  </si>
  <si>
    <t>Transcriptomic_CSP_RPTEC_RPTEC-TERT1_CSP_TP8_conc30_rep1</t>
  </si>
  <si>
    <t>Transcriptomic_CSP_RPTEC_RPTEC-TERT1_CSP_conc20_TP8</t>
  </si>
  <si>
    <t>Transcriptomic_CSP_RPTEC_RPTEC-TERT1_CSP_TP8_conc20_rep1</t>
  </si>
  <si>
    <t>Transcriptomic_CSP_RPTEC_RPTEC-TERT1_CSP_conc10_TP8</t>
  </si>
  <si>
    <t>Transcriptomic_CSP_RPTEC_RPTEC-TERT1_CSP_TP8_conc10_rep1</t>
  </si>
  <si>
    <t>Transcriptomic_CSP_RPTEC_RPTEC-TERT1_CSP_conc5_TP8</t>
  </si>
  <si>
    <t>Transcriptomic_CSP_RPTEC_RPTEC-TERT1_CSP_TP8_conc5_rep1</t>
  </si>
  <si>
    <t>Transcriptomic_CSP_RPTEC_RPTEC-TERT1_CSP_conc2.5_TP8</t>
  </si>
  <si>
    <t>Transcriptomic_CSP_RPTEC_RPTEC-TERT1_CSP_TP8_conc2.5_rep1</t>
  </si>
  <si>
    <t>Transcriptomic_CSP_RPTEC_RPTEC-TERT1_CSP_conc1_TP8</t>
  </si>
  <si>
    <t>Transcriptomic_CSP_RPTEC_RPTEC-TERT1_CSP_TP8_conc1_rep1</t>
  </si>
  <si>
    <t>Transcriptomic_CSP_RPTEC_RPTEC-TERT1_CSP_conc0.5_TP8</t>
  </si>
  <si>
    <t>Transcriptomic_CSP_RPTEC_RPTEC-TERT1_CSP_TP8_conc0.5_rep1</t>
  </si>
  <si>
    <t>Transcriptomic_CSP_RPTEC_RPTEC-TERT1_CSP_conc0.1_TP8</t>
  </si>
  <si>
    <t>Transcriptomic_CSP_RPTEC_RPTEC-TERT1_CSP_TP8_conc0.1_rep3</t>
  </si>
  <si>
    <t>Transcriptomic_CSP_RPTEC_RPTEC-TERT1_DMEM_conc0_TP8</t>
  </si>
  <si>
    <t>Transcriptomic_CSP_RPTEC_RPTEC-TERT1_DMEM_TP8_conc0_rep1</t>
  </si>
  <si>
    <t>Transcriptomic_CSP_RPTEC_RPTEC-TERT1_DMEM_TP8_conc0_rep2</t>
  </si>
  <si>
    <t>Transcriptomic_CSP_RPTEC_RPTEC-TERT1_CSP_TP8_conc50_rep2</t>
  </si>
  <si>
    <t>Transcriptomic_CSP_RPTEC_RPTEC-TERT1_CSP_TP8_conc30_rep2</t>
  </si>
  <si>
    <t>Transcriptomic_CSP_RPTEC_RPTEC-TERT1_CSP_TP8_conc20_rep2</t>
  </si>
  <si>
    <t>Transcriptomic_CSP_RPTEC_RPTEC-TERT1_CSP_TP8_conc10_rep2</t>
  </si>
  <si>
    <t>Transcriptomic_CSP_RPTEC_RPTEC-TERT1_CSP_TP8_conc5_rep2</t>
  </si>
  <si>
    <t>Transcriptomic_CSP_RPTEC_RPTEC-TERT1_CSP_TP8_conc2.5_rep2</t>
  </si>
  <si>
    <t>Transcriptomic_CSP_RPTEC_RPTEC-TERT1_CSP_TP8_conc1_rep2</t>
  </si>
  <si>
    <t>Transcriptomic_CSP_RPTEC_RPTEC-TERT1_CSP_TP8_conc0.5_rep2</t>
  </si>
  <si>
    <t>Transcriptomic_CSP_RPTEC_RPTEC-TERT1_CSP_TP8_conc0.1_rep2</t>
  </si>
  <si>
    <t>Transcriptomic_CSP_RPTEC_RPTEC-TERT1_DMEM_TP8_conc0_rep3</t>
  </si>
  <si>
    <t>Transcriptomic_CSP_RPTEC_RPTEC-TERT1_DMEM_TP8_conc0_rep4</t>
  </si>
  <si>
    <t>Transcriptomic_CSP_RPTEC_RPTEC-TERT1_CSP_TP8_conc50_rep3</t>
  </si>
  <si>
    <t>Transcriptomic_CSP_RPTEC_RPTEC-TERT1_CSP_TP8_conc30_rep3</t>
  </si>
  <si>
    <t>Transcriptomic_CSP_RPTEC_RPTEC-TERT1_CSP_TP8_conc20_rep3</t>
  </si>
  <si>
    <t>Transcriptomic_CSP_RPTEC_RPTEC-TERT1_CSP_TP8_conc10_rep3</t>
  </si>
  <si>
    <t>Transcriptomic_CSP_RPTEC_RPTEC-TERT1_CSP_TP8_conc5_rep3</t>
  </si>
  <si>
    <t>Transcriptomic_CSP_RPTEC_RPTEC-TERT1_CSP_TP8_conc2.5_rep3</t>
  </si>
  <si>
    <t>Transcriptomic_CSP_RPTEC_RPTEC-TERT1_CSP_TP8_conc1_rep3</t>
  </si>
  <si>
    <t>Transcriptomic_CSP_RPTEC_RPTEC-TERT1_CSP_TP8_conc0.5_rep3</t>
  </si>
  <si>
    <t>Transcriptomic_CSP_RPTEC_RPTEC-TERT1_DMEM_TP8_conc0_rep5</t>
  </si>
  <si>
    <t>Transcriptomic_CSP_RPTEC_RPTEC-TERT1_DMEM_TP8_conc0_rep6</t>
  </si>
  <si>
    <t>Transcriptomic_CSP_RPTEC_RPTEC-TERT1_CSP_conc50_TP16</t>
  </si>
  <si>
    <t>Transcriptomic_CSP_RPTEC_RPTEC-TERT1_CSP_TP16_conc50_rep1</t>
  </si>
  <si>
    <t>Transcriptomic_CSP_RPTEC_RPTEC-TERT1_CSP_conc30_TP16</t>
  </si>
  <si>
    <t>Transcriptomic_CSP_RPTEC_RPTEC-TERT1_CSP_TP16_conc30_rep1</t>
  </si>
  <si>
    <t>Transcriptomic_CSP_RPTEC_RPTEC-TERT1_CSP_conc20_TP16</t>
  </si>
  <si>
    <t>Transcriptomic_CSP_RPTEC_RPTEC-TERT1_CSP_TP16_conc20_rep1</t>
  </si>
  <si>
    <t>Transcriptomic_CSP_RPTEC_RPTEC-TERT1_CSP_conc10_TP16</t>
  </si>
  <si>
    <t>Transcriptomic_CSP_RPTEC_RPTEC-TERT1_CSP_TP16_conc10_rep1</t>
  </si>
  <si>
    <t>Transcriptomic_CSP_RPTEC_RPTEC-TERT1_CSP_conc5_TP16</t>
  </si>
  <si>
    <t>Transcriptomic_CSP_RPTEC_RPTEC-TERT1_CSP_TP16_conc5_rep1</t>
  </si>
  <si>
    <t>Transcriptomic_CSP_RPTEC_RPTEC-TERT1_CSP_conc2.5_TP16</t>
  </si>
  <si>
    <t>Transcriptomic_CSP_RPTEC_RPTEC-TERT1_CSP_TP16_conc2.5_rep1</t>
  </si>
  <si>
    <t>Transcriptomic_CSP_RPTEC_RPTEC-TERT1_CSP_conc1_TP16</t>
  </si>
  <si>
    <t>Transcriptomic_CSP_RPTEC_RPTEC-TERT1_CSP_TP16_conc1_rep1</t>
  </si>
  <si>
    <t>Transcriptomic_CSP_RPTEC_RPTEC-TERT1_CSP_conc0.5_TP16</t>
  </si>
  <si>
    <t>Transcriptomic_CSP_RPTEC_RPTEC-TERT1_CSP_TP16_conc0.5_rep1</t>
  </si>
  <si>
    <t>Transcriptomic_CSP_RPTEC_RPTEC-TERT1_CSP_conc0.1_TP16</t>
  </si>
  <si>
    <t>Transcriptomic_CSP_RPTEC_RPTEC-TERT1_CSP_TP16_conc0.1_rep3</t>
  </si>
  <si>
    <t>Transcriptomic_CSP_RPTEC_RPTEC-TERT1_DMEM_conc0_TP16</t>
  </si>
  <si>
    <t>Transcriptomic_CSP_RPTEC_RPTEC-TERT1_DMEM_TP16_conc0_rep1</t>
  </si>
  <si>
    <t>Transcriptomic_CSP_RPTEC_RPTEC-TERT1_DMEM_TP16_conc0_rep2</t>
  </si>
  <si>
    <t>Transcriptomic_CSP_RPTEC_RPTEC-TERT1_CSP_TP16_conc50_rep2</t>
  </si>
  <si>
    <t>Transcriptomic_CSP_RPTEC_RPTEC-TERT1_CSP_TP16_conc30_rep2</t>
  </si>
  <si>
    <t>Transcriptomic_CSP_RPTEC_RPTEC-TERT1_CSP_TP16_conc20_rep2</t>
  </si>
  <si>
    <t>Transcriptomic_CSP_RPTEC_RPTEC-TERT1_CSP_TP16_conc10_rep2</t>
  </si>
  <si>
    <t>Transcriptomic_CSP_RPTEC_RPTEC-TERT1_CSP_TP16_conc5_rep2</t>
  </si>
  <si>
    <t>Transcriptomic_CSP_RPTEC_RPTEC-TERT1_CSP_TP16_conc2.5_rep2</t>
  </si>
  <si>
    <t>Transcriptomic_CSP_RPTEC_RPTEC-TERT1_CSP_TP16_conc1_rep2</t>
  </si>
  <si>
    <t>Transcriptomic_CSP_RPTEC_RPTEC-TERT1_CSP_TP16_conc0.5_rep2</t>
  </si>
  <si>
    <t>Transcriptomic_CSP_RPTEC_RPTEC-TERT1_CSP_TP16_conc0.1_rep2</t>
  </si>
  <si>
    <t>Transcriptomic_CSP_RPTEC_RPTEC-TERT1_DMEM_TP16_conc0_rep3</t>
  </si>
  <si>
    <t>Transcriptomic_CSP_RPTEC_RPTEC-TERT1_DMEM_TP16_conc0_rep4</t>
  </si>
  <si>
    <t>Transcriptomic_CSP_RPTEC_RPTEC-TERT1_CSP_TP16_conc50_rep3</t>
  </si>
  <si>
    <t>Transcriptomic_CSP_RPTEC_RPTEC-TERT1_CSP_TP16_conc30_rep3</t>
  </si>
  <si>
    <t>Transcriptomic_CSP_RPTEC_RPTEC-TERT1_CSP_TP16_conc20_rep3</t>
  </si>
  <si>
    <t>Transcriptomic_CSP_RPTEC_RPTEC-TERT1_CSP_TP16_conc10_rep3</t>
  </si>
  <si>
    <t>Transcriptomic_CSP_RPTEC_RPTEC-TERT1_CSP_TP16_conc5_rep3</t>
  </si>
  <si>
    <t>Transcriptomic_CSP_RPTEC_RPTEC-TERT1_CSP_TP16_conc2.5_rep3</t>
  </si>
  <si>
    <t>Transcriptomic_CSP_RPTEC_RPTEC-TERT1_CSP_TP16_conc1_rep3</t>
  </si>
  <si>
    <t>Transcriptomic_CSP_RPTEC_RPTEC-TERT1_CSP_TP16_conc0.5_rep3</t>
  </si>
  <si>
    <t>Transcriptomic_CSP_RPTEC_RPTEC-TERT1_DMEM_TP16_conc0_rep5</t>
  </si>
  <si>
    <t>Transcriptomic_CSP_RPTEC_RPTEC-TERT1_DMEM_TP16_conc0_rep6</t>
  </si>
  <si>
    <t>Transcriptomic_CSP_RPTEC_RPTEC-TERT1_CSP_conc50_TP24</t>
  </si>
  <si>
    <t>Transcriptomic_CSP_RPTEC_RPTEC-TERT1_CSP_TP24_conc50_rep1</t>
  </si>
  <si>
    <t>Transcriptomic_CSP_RPTEC_RPTEC-TERT1_CSP_conc30_TP24</t>
  </si>
  <si>
    <t>Transcriptomic_CSP_RPTEC_RPTEC-TERT1_CSP_TP24_conc30_rep1</t>
  </si>
  <si>
    <t>Transcriptomic_CSP_RPTEC_RPTEC-TERT1_CSP_conc20_TP24</t>
  </si>
  <si>
    <t>Transcriptomic_CSP_RPTEC_RPTEC-TERT1_CSP_TP24_conc20_rep1</t>
  </si>
  <si>
    <t>Transcriptomic_CSP_RPTEC_RPTEC-TERT1_CSP_conc10_TP24</t>
  </si>
  <si>
    <t>Transcriptomic_CSP_RPTEC_RPTEC-TERT1_CSP_TP24_conc10_rep1</t>
  </si>
  <si>
    <t>Transcriptomic_CSP_RPTEC_RPTEC-TERT1_CSP_conc5_TP24</t>
  </si>
  <si>
    <t>Transcriptomic_CSP_RPTEC_RPTEC-TERT1_CSP_TP24_conc5_rep1</t>
  </si>
  <si>
    <t>Transcriptomic_CSP_RPTEC_RPTEC-TERT1_CSP_conc2.5_TP24</t>
  </si>
  <si>
    <t>Transcriptomic_CSP_RPTEC_RPTEC-TERT1_CSP_TP24_conc2.5_rep1</t>
  </si>
  <si>
    <t>Transcriptomic_CSP_RPTEC_RPTEC-TERT1_CSP_conc1_TP24</t>
  </si>
  <si>
    <t>Transcriptomic_CSP_RPTEC_RPTEC-TERT1_CSP_TP24_conc1_rep1</t>
  </si>
  <si>
    <t>Transcriptomic_CSP_RPTEC_RPTEC-TERT1_CSP_conc0.5_TP24</t>
  </si>
  <si>
    <t>Transcriptomic_CSP_RPTEC_RPTEC-TERT1_CSP_TP24_conc0.5_rep1</t>
  </si>
  <si>
    <t>Transcriptomic_CSP_RPTEC_RPTEC-TERT1_CSP_conc0.1_TP24</t>
  </si>
  <si>
    <t>Transcriptomic_CSP_RPTEC_RPTEC-TERT1_CSP_TP24_conc0.1_rep3</t>
  </si>
  <si>
    <t>Transcriptomic_CSP_RPTEC_RPTEC-TERT1_DMEM_conc0_TP24</t>
  </si>
  <si>
    <t>Transcriptomic_CSP_RPTEC_RPTEC-TERT1_DMEM_TP24_conc0_rep1</t>
  </si>
  <si>
    <t>Transcriptomic_CSP_RPTEC_RPTEC-TERT1_DMEM_TP24_conc0_rep2</t>
  </si>
  <si>
    <t>Transcriptomic_CSP_RPTEC_RPTEC-TERT1_CSP_TP24_conc50_rep2</t>
  </si>
  <si>
    <t>Transcriptomic_CSP_RPTEC_RPTEC-TERT1_CSP_TP24_conc30_rep2</t>
  </si>
  <si>
    <t>Transcriptomic_CSP_RPTEC_RPTEC-TERT1_CSP_TP24_conc20_rep2</t>
  </si>
  <si>
    <t>Transcriptomic_CSP_RPTEC_RPTEC-TERT1_CSP_TP24_conc10_rep2</t>
  </si>
  <si>
    <t>Transcriptomic_CSP_RPTEC_RPTEC-TERT1_CSP_TP24_conc5_rep2</t>
  </si>
  <si>
    <t>Transcriptomic_CSP_RPTEC_RPTEC-TERT1_CSP_TP24_conc2.5_rep2</t>
  </si>
  <si>
    <t>Transcriptomic_CSP_RPTEC_RPTEC-TERT1_CSP_TP24_conc1_rep2</t>
  </si>
  <si>
    <t>Transcriptomic_CSP_RPTEC_RPTEC-TERT1_CSP_TP24_conc0.5_rep2</t>
  </si>
  <si>
    <t>Transcriptomic_CSP_RPTEC_RPTEC-TERT1_CSP_TP24_conc0.1_rep2</t>
  </si>
  <si>
    <t>Transcriptomic_CSP_RPTEC_RPTEC-TERT1_DMEM_TP24_conc0_rep3</t>
  </si>
  <si>
    <t>Transcriptomic_CSP_RPTEC_RPTEC-TERT1_DMEM_TP24_conc0_rep4</t>
  </si>
  <si>
    <t>Transcriptomic_CSP_RPTEC_RPTEC-TERT1_CSP_TP24_conc50_rep3</t>
  </si>
  <si>
    <t>Transcriptomic_CSP_RPTEC_RPTEC-TERT1_CSP_TP24_conc30_rep3</t>
  </si>
  <si>
    <t>Transcriptomic_CSP_RPTEC_RPTEC-TERT1_CSP_TP24_conc20_rep3</t>
  </si>
  <si>
    <t>Transcriptomic_CSP_RPTEC_RPTEC-TERT1_CSP_TP24_conc10_rep3</t>
  </si>
  <si>
    <t>Transcriptomic_CSP_RPTEC_RPTEC-TERT1_CSP_TP24_conc5_rep3</t>
  </si>
  <si>
    <t>Transcriptomic_CSP_RPTEC_RPTEC-TERT1_CSP_TP24_conc2.5_rep3</t>
  </si>
  <si>
    <t>Transcriptomic_CSP_RPTEC_RPTEC-TERT1_CSP_TP24_conc1_rep3</t>
  </si>
  <si>
    <t>Transcriptomic_CSP_RPTEC_RPTEC-TERT1_CSP_TP24_conc0.5_rep3</t>
  </si>
  <si>
    <t>Transcriptomic_CSP_RPTEC_RPTEC-TERT1_DMEM_TP24_conc0_rep5</t>
  </si>
  <si>
    <t>Transcriptomic_CSP_RPTEC_RPTEC-TERT1_DMEM_TP24_conc0_rep6</t>
  </si>
  <si>
    <t>Transcriptomic_CSP_RPTEC_RPTEC-TERT1_CSP_conc50_TP48</t>
  </si>
  <si>
    <t>Transcriptomic_CSP_RPTEC_RPTEC-TERT1_CSP_TP48_conc50_rep1</t>
  </si>
  <si>
    <t>Transcriptomic_CSP_RPTEC_RPTEC-TERT1_CSP_conc30_TP48</t>
  </si>
  <si>
    <t>Transcriptomic_CSP_RPTEC_RPTEC-TERT1_CSP_TP48_conc30_rep1</t>
  </si>
  <si>
    <t>Transcriptomic_CSP_RPTEC_RPTEC-TERT1_CSP_conc20_TP48</t>
  </si>
  <si>
    <t>Transcriptomic_CSP_RPTEC_RPTEC-TERT1_CSP_TP48_conc20_rep1</t>
  </si>
  <si>
    <t>Transcriptomic_CSP_RPTEC_RPTEC-TERT1_CSP_conc10_TP48</t>
  </si>
  <si>
    <t>Transcriptomic_CSP_RPTEC_RPTEC-TERT1_CSP_TP48_conc10_rep1</t>
  </si>
  <si>
    <t>Transcriptomic_CSP_RPTEC_RPTEC-TERT1_CSP_conc5_TP48</t>
  </si>
  <si>
    <t>Transcriptomic_CSP_RPTEC_RPTEC-TERT1_CSP_TP48_conc5_rep1</t>
  </si>
  <si>
    <t>Transcriptomic_CSP_RPTEC_RPTEC-TERT1_CSP_conc2.5_TP48</t>
  </si>
  <si>
    <t>Transcriptomic_CSP_RPTEC_RPTEC-TERT1_CSP_TP48_conc2.5_rep1</t>
  </si>
  <si>
    <t>Transcriptomic_CSP_RPTEC_RPTEC-TERT1_CSP_conc1_TP48</t>
  </si>
  <si>
    <t>Transcriptomic_CSP_RPTEC_RPTEC-TERT1_CSP_TP48_conc1_rep1</t>
  </si>
  <si>
    <t>Transcriptomic_CSP_RPTEC_RPTEC-TERT1_CSP_conc0.5_TP48</t>
  </si>
  <si>
    <t>Transcriptomic_CSP_RPTEC_RPTEC-TERT1_CSP_TP48_conc0.5_rep1</t>
  </si>
  <si>
    <t>Transcriptomic_CSP_RPTEC_RPTEC-TERT1_CSP_conc0.1_TP48</t>
  </si>
  <si>
    <t>Transcriptomic_CSP_RPTEC_RPTEC-TERT1_CSP_TP48_conc0.1_rep3</t>
  </si>
  <si>
    <t>Transcriptomic_CSP_RPTEC_RPTEC-TERT1_DMEM_conc0_TP48</t>
  </si>
  <si>
    <t>Transcriptomic_CSP_RPTEC_RPTEC-TERT1_DMEM_TP48_conc0_rep1</t>
  </si>
  <si>
    <t>Transcriptomic_CSP_RPTEC_RPTEC-TERT1_DMEM_TP48_conc0_rep2</t>
  </si>
  <si>
    <t>Transcriptomic_CSP_RPTEC_RPTEC-TERT1_CSP_TP48_conc50_rep2</t>
  </si>
  <si>
    <t>Transcriptomic_CSP_RPTEC_RPTEC-TERT1_CSP_TP48_conc30_rep2</t>
  </si>
  <si>
    <t>Transcriptomic_CSP_RPTEC_RPTEC-TERT1_CSP_TP48_conc20_rep2</t>
  </si>
  <si>
    <t>Transcriptomic_CSP_RPTEC_RPTEC-TERT1_CSP_TP48_conc10_rep2</t>
  </si>
  <si>
    <t>Transcriptomic_CSP_RPTEC_RPTEC-TERT1_CSP_TP48_conc5_rep2</t>
  </si>
  <si>
    <t>Transcriptomic_CSP_RPTEC_RPTEC-TERT1_CSP_TP48_conc2.5_rep2</t>
  </si>
  <si>
    <t>Transcriptomic_CSP_RPTEC_RPTEC-TERT1_CSP_TP48_conc1_rep2</t>
  </si>
  <si>
    <t>Transcriptomic_CSP_RPTEC_RPTEC-TERT1_CSP_TP48_conc0.5_rep2</t>
  </si>
  <si>
    <t>Transcriptomic_CSP_RPTEC_RPTEC-TERT1_CSP_TP48_conc0.1_rep2</t>
  </si>
  <si>
    <t>Transcriptomic_CSP_RPTEC_RPTEC-TERT1_DMEM_TP48_conc0_rep3</t>
  </si>
  <si>
    <t>Transcriptomic_CSP_RPTEC_RPTEC-TERT1_DMEM_TP48_conc0_rep4</t>
  </si>
  <si>
    <t>Transcriptomic_CSP_RPTEC_RPTEC-TERT1_CSP_TP48_conc50_rep3</t>
  </si>
  <si>
    <t>Transcriptomic_CSP_RPTEC_RPTEC-TERT1_CSP_TP48_conc30_rep3</t>
  </si>
  <si>
    <t>Transcriptomic_CSP_RPTEC_RPTEC-TERT1_CSP_TP48_conc20_rep3</t>
  </si>
  <si>
    <t>Transcriptomic_CSP_RPTEC_RPTEC-TERT1_CSP_TP48_conc10_rep3</t>
  </si>
  <si>
    <t>Transcriptomic_CSP_RPTEC_RPTEC-TERT1_CSP_TP48_conc5_rep3</t>
  </si>
  <si>
    <t>Transcriptomic_CSP_RPTEC_RPTEC-TERT1_CSP_TP48_conc2.5_rep3</t>
  </si>
  <si>
    <t>Transcriptomic_CSP_RPTEC_RPTEC-TERT1_CSP_TP48_conc1_rep3</t>
  </si>
  <si>
    <t>Transcriptomic_CSP_RPTEC_RPTEC-TERT1_CSP_TP48_conc0.5_rep3</t>
  </si>
  <si>
    <t>Transcriptomic_CSP_RPTEC_RPTEC-TERT1_DMEM_TP48_conc0_rep5</t>
  </si>
  <si>
    <t>Transcriptomic_CSP_RPTEC_RPTEC-TERT1_DMEM_TP48_conc0_rep6</t>
  </si>
  <si>
    <t>Transcriptomic_CSP_RPTEC_RPTEC-TERT1_CSP_conc50_TP72</t>
  </si>
  <si>
    <t>Transcriptomic_CSP_RPTEC_RPTEC-TERT1_CSP_TP72_conc50_rep1</t>
  </si>
  <si>
    <t>Transcriptomic_CSP_RPTEC_RPTEC-TERT1_CSP_conc30_TP72</t>
  </si>
  <si>
    <t>Transcriptomic_CSP_RPTEC_RPTEC-TERT1_CSP_TP72_conc30_rep1</t>
  </si>
  <si>
    <t>Transcriptomic_CSP_RPTEC_RPTEC-TERT1_CSP_conc20_TP72</t>
  </si>
  <si>
    <t>Transcriptomic_CSP_RPTEC_RPTEC-TERT1_CSP_TP72_conc20_rep1</t>
  </si>
  <si>
    <t>Transcriptomic_CSP_RPTEC_RPTEC-TERT1_CSP_conc10_TP72</t>
  </si>
  <si>
    <t>Transcriptomic_CSP_RPTEC_RPTEC-TERT1_CSP_TP72_conc10_rep1</t>
  </si>
  <si>
    <t>Transcriptomic_CSP_RPTEC_RPTEC-TERT1_CSP_conc5_TP72</t>
  </si>
  <si>
    <t>Transcriptomic_CSP_RPTEC_RPTEC-TERT1_CSP_TP72_conc5_rep1</t>
  </si>
  <si>
    <t>Transcriptomic_CSP_RPTEC_RPTEC-TERT1_CSP_conc2.5_TP72</t>
  </si>
  <si>
    <t>Transcriptomic_CSP_RPTEC_RPTEC-TERT1_CSP_TP72_conc2.5_rep1</t>
  </si>
  <si>
    <t>Transcriptomic_CSP_RPTEC_RPTEC-TERT1_CSP_conc1_TP72</t>
  </si>
  <si>
    <t>Transcriptomic_CSP_RPTEC_RPTEC-TERT1_CSP_TP72_conc1_rep1</t>
  </si>
  <si>
    <t>Transcriptomic_CSP_RPTEC_RPTEC-TERT1_CSP_conc0.5_TP72</t>
  </si>
  <si>
    <t>Transcriptomic_CSP_RPTEC_RPTEC-TERT1_CSP_TP72_conc0.5_rep1</t>
  </si>
  <si>
    <t>Transcriptomic_CSP_RPTEC_RPTEC-TERT1_CSP_conc0.1_TP72</t>
  </si>
  <si>
    <t>Transcriptomic_CSP_RPTEC_RPTEC-TERT1_CSP_TP72_conc0.1_rep3</t>
  </si>
  <si>
    <t>Transcriptomic_CSP_RPTEC_RPTEC-TERT1_DMEM_conc0_TP72</t>
  </si>
  <si>
    <t>Transcriptomic_CSP_RPTEC_RPTEC-TERT1_DMEM_TP72_conc0_rep1</t>
  </si>
  <si>
    <t>Transcriptomic_CSP_RPTEC_RPTEC-TERT1_DMEM_TP72_conc0_rep2</t>
  </si>
  <si>
    <t>Transcriptomic_CSP_RPTEC_RPTEC-TERT1_CSP_TP72_conc50_rep2</t>
  </si>
  <si>
    <t>Transcriptomic_CSP_RPTEC_RPTEC-TERT1_CSP_TP72_conc30_rep2</t>
  </si>
  <si>
    <t>Transcriptomic_CSP_RPTEC_RPTEC-TERT1_CSP_TP72_conc20_rep2</t>
  </si>
  <si>
    <t>Transcriptomic_CSP_RPTEC_RPTEC-TERT1_CSP_TP72_conc10_rep2</t>
  </si>
  <si>
    <t>Transcriptomic_CSP_RPTEC_RPTEC-TERT1_CSP_TP72_conc5_rep2</t>
  </si>
  <si>
    <t>Transcriptomic_CSP_RPTEC_RPTEC-TERT1_CSP_TP72_conc2.5_rep2</t>
  </si>
  <si>
    <t>Transcriptomic_CSP_RPTEC_RPTEC-TERT1_CSP_TP72_conc1_rep2</t>
  </si>
  <si>
    <t>Transcriptomic_CSP_RPTEC_RPTEC-TERT1_CSP_TP72_conc0.5_rep2</t>
  </si>
  <si>
    <t>Transcriptomic_CSP_RPTEC_RPTEC-TERT1_CSP_TP72_conc0.1_rep2</t>
  </si>
  <si>
    <t>Transcriptomic_CSP_RPTEC_RPTEC-TERT1_DMEM_TP72_conc0_rep3</t>
  </si>
  <si>
    <t>Transcriptomic_CSP_RPTEC_RPTEC-TERT1_DMEM_TP72_conc0_rep4</t>
  </si>
  <si>
    <t>Transcriptomic_CSP_RPTEC_RPTEC-TERT1_CSP_TP72_conc50_rep3</t>
  </si>
  <si>
    <t>Transcriptomic_CSP_RPTEC_RPTEC-TERT1_CSP_TP72_conc30_rep3</t>
  </si>
  <si>
    <t>Transcriptomic_CSP_RPTEC_RPTEC-TERT1_CSP_TP72_conc20_rep3</t>
  </si>
  <si>
    <t>Transcriptomic_CSP_RPTEC_RPTEC-TERT1_CSP_TP72_conc10_rep3</t>
  </si>
  <si>
    <t>Transcriptomic_CSP_RPTEC_RPTEC-TERT1_CSP_TP72_conc5_rep3</t>
  </si>
  <si>
    <t>Transcriptomic_CSP_RPTEC_RPTEC-TERT1_CSP_TP72_conc2.5_rep3</t>
  </si>
  <si>
    <t>Transcriptomic_CSP_RPTEC_RPTEC-TERT1_CSP_TP72_conc1_rep3</t>
  </si>
  <si>
    <t>Transcriptomic_CSP_RPTEC_RPTEC-TERT1_CSP_TP72_conc0.5_rep3</t>
  </si>
  <si>
    <t>Transcriptomic_CSP_RPTEC_RPTEC-TERT1_DMEM_TP72_conc0_rep5</t>
  </si>
  <si>
    <t>Transcriptomic_CSP_RPTEC_RPTEC-TERT1_DMEM_TP72_conc0_rep6</t>
  </si>
  <si>
    <t>Transcriptomic_CSP_RPTEC_NA_NA_conc0_TP72</t>
  </si>
  <si>
    <t>Transcriptomic_CSP_RPTEC_NA_NA_TP72_conc0_rep1</t>
  </si>
  <si>
    <t>EUT046</t>
  </si>
  <si>
    <t>Human</t>
  </si>
  <si>
    <t>RPTEC-Jennings</t>
  </si>
  <si>
    <t>Transcriptomic_CSP_RPTEC_RPTEC-Jennings_CSP_conc50_TP24</t>
  </si>
  <si>
    <t>Transcriptomic_CSP_RPTEC_RPTEC-Jennings_CSP_TP24_conc50_rep1</t>
  </si>
  <si>
    <t>Transcriptomic_CSP_RPTEC_RPTEC-Jennings_CSP_conc30_TP24</t>
  </si>
  <si>
    <t>Transcriptomic_CSP_RPTEC_RPTEC-Jennings_CSP_TP24_conc30_rep1</t>
  </si>
  <si>
    <t>Transcriptomic_CSP_RPTEC_RPTEC-Jennings_CSP_conc20_TP24</t>
  </si>
  <si>
    <t>Transcriptomic_CSP_RPTEC_RPTEC-Jennings_CSP_TP24_conc20_rep1</t>
  </si>
  <si>
    <t>Transcriptomic_CSP_RPTEC_RPTEC-Jennings_CSP_conc10_TP24</t>
  </si>
  <si>
    <t>Transcriptomic_CSP_RPTEC_RPTEC-Jennings_CSP_TP24_conc10_rep1</t>
  </si>
  <si>
    <t>Transcriptomic_CSP_RPTEC_RPTEC-Jennings_CSP_conc5_TP24</t>
  </si>
  <si>
    <t>Transcriptomic_CSP_RPTEC_RPTEC-Jennings_CSP_TP24_conc5_rep1</t>
  </si>
  <si>
    <t>Transcriptomic_CSP_RPTEC_RPTEC-Jennings_CSP_conc2.5_TP24</t>
  </si>
  <si>
    <t>Transcriptomic_CSP_RPTEC_RPTEC-Jennings_CSP_TP24_conc2.5_rep1</t>
  </si>
  <si>
    <t>Transcriptomic_CSP_RPTEC_RPTEC-Jennings_CSP_conc1_TP24</t>
  </si>
  <si>
    <t>Transcriptomic_CSP_RPTEC_RPTEC-Jennings_CSP_TP24_conc1_rep1</t>
  </si>
  <si>
    <t>Transcriptomic_CSP_RPTEC_RPTEC-Jennings_CSP_conc0.5_TP24</t>
  </si>
  <si>
    <t>Transcriptomic_CSP_RPTEC_RPTEC-Jennings_CSP_TP24_conc0.5_rep1</t>
  </si>
  <si>
    <t>Transcriptomic_CSP_RPTEC_RPTEC-Jennings_CSP_conc0.1_TP24</t>
  </si>
  <si>
    <t>Transcriptomic_CSP_RPTEC_RPTEC-Jennings_CSP_TP24_conc0.1_rep1</t>
  </si>
  <si>
    <t>Transcriptomic_CSP_RPTEC_RPTEC-Jennings_DMEM_conc0_TP24</t>
  </si>
  <si>
    <t>Transcriptomic_CSP_RPTEC_RPTEC-Jennings_DMEM_TP24_conc0_rep1</t>
  </si>
  <si>
    <t>Transcriptomic_CSP_RPTEC_RPTEC-Jennings_CSP_TP24_conc50_rep2</t>
  </si>
  <si>
    <t>Transcriptomic_CSP_RPTEC_RPTEC-Jennings_CSP_TP24_conc30_rep2</t>
  </si>
  <si>
    <t>Transcriptomic_CSP_RPTEC_RPTEC-Jennings_CSP_TP24_conc20_rep2</t>
  </si>
  <si>
    <t>Transcriptomic_CSP_RPTEC_RPTEC-Jennings_CSP_TP24_conc10_rep2</t>
  </si>
  <si>
    <t>Transcriptomic_CSP_RPTEC_RPTEC-Jennings_CSP_TP24_conc5_rep2</t>
  </si>
  <si>
    <t>Transcriptomic_CSP_RPTEC_RPTEC-Jennings_CSP_TP24_conc2.5_rep2</t>
  </si>
  <si>
    <t>Transcriptomic_CSP_RPTEC_RPTEC-Jennings_CSP_TP24_conc1_rep3</t>
  </si>
  <si>
    <t>Transcriptomic_CSP_RPTEC_RPTEC-Jennings_CSP_TP24_conc0.5_rep2</t>
  </si>
  <si>
    <t>Transcriptomic_CSP_RPTEC_RPTEC-Jennings_CSP_TP24_conc0.1_rep2</t>
  </si>
  <si>
    <t>Transcriptomic_CSP_RPTEC_RPTEC-Jennings_DMEM_TP24_conc0_rep2</t>
  </si>
  <si>
    <t>Transcriptomic_CSP_RPTEC_RPTEC-Jennings_CSP_TP24_conc50_rep3</t>
  </si>
  <si>
    <t>Transcriptomic_CSP_RPTEC_RPTEC-Jennings_CSP_TP24_conc30_rep3</t>
  </si>
  <si>
    <t>Transcriptomic_CSP_RPTEC_RPTEC-Jennings_CSP_TP24_conc20_rep3</t>
  </si>
  <si>
    <t>Transcriptomic_CSP_RPTEC_RPTEC-Jennings_CSP_TP24_conc10_rep3</t>
  </si>
  <si>
    <t>Transcriptomic_CSP_RPTEC_RPTEC-Jennings_CSP_TP24_conc5_rep3</t>
  </si>
  <si>
    <t>Transcriptomic_CSP_RPTEC_RPTEC-Jennings_CSP_TP24_conc2.5_rep3</t>
  </si>
  <si>
    <t>Transcriptomic_CSP_RPTEC_RPTEC-Jennings_CSP_TP24_conc0.5_rep3</t>
  </si>
  <si>
    <t>Transcriptomic_CSP_RPTEC_RPTEC-Jennings_CSP_TP24_conc0.1_rep3</t>
  </si>
  <si>
    <t>Transcriptomic_CSP_RPTEC_RPTEC-Jennings_DMEM_TP24_conc0_rep3</t>
  </si>
  <si>
    <t>P1</t>
  </si>
  <si>
    <t>P2</t>
  </si>
  <si>
    <t>P3</t>
  </si>
  <si>
    <t>CISPLATIN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</si>
</sst>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Fill="1" applyBorder="1"/>
    <xf numFmtId="0" fontId="16" fillId="0" borderId="0" xfId="0" applyFont="1" applyFill="1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8"/>
  <sheetViews>
    <sheetView tabSelected="1" workbookViewId="0"/>
  </sheetViews>
  <sheetFormatPr defaultRowHeight="15" x14ac:dyDescent="0.25"/>
  <cols>
    <col min="1" max="1" width="19.28515625" bestFit="1" customWidth="1"/>
    <col min="2" max="2" width="45" bestFit="1" customWidth="1"/>
    <col min="3" max="3" width="22.7109375" bestFit="1" customWidth="1"/>
    <col min="4" max="4" width="26.140625" bestFit="1" customWidth="1"/>
    <col min="6" max="6" width="9.85546875" bestFit="1" customWidth="1"/>
    <col min="7" max="7" width="7.28515625" bestFit="1" customWidth="1"/>
    <col min="9" max="9" width="14.7109375" bestFit="1" customWidth="1"/>
    <col min="10" max="10" width="11.7109375" bestFit="1" customWidth="1"/>
    <col min="11" max="11" width="12.140625" bestFit="1" customWidth="1"/>
    <col min="12" max="12" width="12.140625" customWidth="1"/>
    <col min="14" max="14" width="10.85546875" bestFit="1" customWidth="1"/>
    <col min="15" max="15" width="16.5703125" bestFit="1" customWidth="1"/>
    <col min="16" max="16" width="8" bestFit="1" customWidth="1"/>
    <col min="17" max="17" width="11.7109375" bestFit="1" customWidth="1"/>
    <col min="18" max="18" width="10.85546875" bestFit="1" customWidth="1"/>
    <col min="19" max="19" width="33.28515625" bestFit="1" customWidth="1"/>
    <col min="20" max="20" width="63.28515625" bestFit="1" customWidth="1"/>
    <col min="21" max="21" width="64.28515625" bestFit="1" customWidth="1"/>
    <col min="22" max="22" width="12" bestFit="1" customWidth="1"/>
  </cols>
  <sheetData>
    <row r="1" spans="1:24" x14ac:dyDescent="0.25">
      <c r="A1" s="2" t="s">
        <v>0</v>
      </c>
      <c r="B1" s="2" t="s">
        <v>351</v>
      </c>
      <c r="C1" s="2" t="s">
        <v>1</v>
      </c>
      <c r="D1" s="2" t="s">
        <v>2</v>
      </c>
      <c r="E1" s="1" t="s">
        <v>353</v>
      </c>
      <c r="F1" s="1" t="s">
        <v>352</v>
      </c>
      <c r="G1" s="2" t="s">
        <v>7</v>
      </c>
      <c r="H1" s="2" t="s">
        <v>354</v>
      </c>
      <c r="I1" s="2" t="s">
        <v>3</v>
      </c>
      <c r="J1" s="2" t="s">
        <v>4</v>
      </c>
      <c r="K1" s="1" t="s">
        <v>355</v>
      </c>
      <c r="L1" s="1" t="s">
        <v>356</v>
      </c>
      <c r="M1" s="2" t="s">
        <v>357</v>
      </c>
      <c r="N1" s="2" t="s">
        <v>6</v>
      </c>
      <c r="O1" s="2" t="s">
        <v>8</v>
      </c>
      <c r="P1" s="2" t="s">
        <v>358</v>
      </c>
      <c r="Q1" s="2" t="s">
        <v>359</v>
      </c>
      <c r="R1" s="2" t="s">
        <v>5</v>
      </c>
      <c r="S1" s="1" t="s">
        <v>360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</row>
    <row r="2" spans="1:24" x14ac:dyDescent="0.25">
      <c r="A2" s="3" t="s">
        <v>48</v>
      </c>
      <c r="B2" s="3" t="str">
        <f>H2&amp;"_ "&amp;I2&amp;"_ "&amp;J2&amp;"_ "&amp;N2&amp;"_ "&amp;O2&amp;"_R"&amp;R2</f>
        <v>Human_ RPTEC-TERT1_ CSP_ 4hr_ 0.1uM_R1</v>
      </c>
      <c r="C2" s="3" t="s">
        <v>15</v>
      </c>
      <c r="D2" s="3" t="str">
        <f>C2&amp;"_"&amp;E2</f>
        <v>LEIDEN_TQ_RPTEC_CSP1_A10</v>
      </c>
      <c r="E2" s="3" t="s">
        <v>49</v>
      </c>
      <c r="F2" s="3" t="s">
        <v>668</v>
      </c>
      <c r="G2" s="3" t="s">
        <v>626</v>
      </c>
      <c r="H2" s="3" t="s">
        <v>627</v>
      </c>
      <c r="I2" s="3" t="s">
        <v>350</v>
      </c>
      <c r="J2" s="3" t="s">
        <v>371</v>
      </c>
      <c r="K2" s="3" t="s">
        <v>671</v>
      </c>
      <c r="L2" s="3" t="s">
        <v>371</v>
      </c>
      <c r="M2" s="3">
        <v>4</v>
      </c>
      <c r="N2" s="3" t="str">
        <f>M2&amp;"hr"</f>
        <v>4hr</v>
      </c>
      <c r="O2" s="3" t="str">
        <f>P2&amp;"uM"</f>
        <v>0.1uM</v>
      </c>
      <c r="P2" s="3">
        <v>0.1</v>
      </c>
      <c r="Q2" s="3">
        <v>1</v>
      </c>
      <c r="R2">
        <v>1</v>
      </c>
      <c r="S2" s="3" t="str">
        <f>I2&amp;"_ "&amp;J2&amp;"_ "&amp;N2&amp;"_ "&amp;O2</f>
        <v>RPTEC-TERT1_ CSP_ 4hr_ 0.1uM</v>
      </c>
      <c r="T2" s="3" t="s">
        <v>388</v>
      </c>
      <c r="U2" s="3" t="s">
        <v>389</v>
      </c>
      <c r="V2" s="3">
        <v>5119900</v>
      </c>
      <c r="W2" s="3">
        <v>242.52285538344901</v>
      </c>
      <c r="X2" s="3">
        <v>4</v>
      </c>
    </row>
    <row r="3" spans="1:24" x14ac:dyDescent="0.25">
      <c r="A3" s="3" t="s">
        <v>70</v>
      </c>
      <c r="B3" s="3" t="str">
        <f>H3&amp;"_ "&amp;I3&amp;"_ "&amp;J3&amp;"_ "&amp;N3&amp;"_ "&amp;O3&amp;"_R"&amp;R3</f>
        <v>Human_ RPTEC-TERT1_ CSP_ 4hr_ 0.1uM_R2</v>
      </c>
      <c r="C3" s="3" t="s">
        <v>15</v>
      </c>
      <c r="D3" s="3" t="str">
        <f>C3&amp;"_"&amp;E3</f>
        <v>LEIDEN_TQ_RPTEC_CSP1_B10</v>
      </c>
      <c r="E3" s="3" t="s">
        <v>71</v>
      </c>
      <c r="F3" s="3" t="s">
        <v>668</v>
      </c>
      <c r="G3" s="3" t="s">
        <v>626</v>
      </c>
      <c r="H3" s="3" t="s">
        <v>627</v>
      </c>
      <c r="I3" s="3" t="s">
        <v>350</v>
      </c>
      <c r="J3" s="3" t="s">
        <v>371</v>
      </c>
      <c r="K3" s="3" t="s">
        <v>671</v>
      </c>
      <c r="L3" s="3" t="s">
        <v>371</v>
      </c>
      <c r="M3" s="3">
        <v>4</v>
      </c>
      <c r="N3" s="3" t="str">
        <f>M3&amp;"hr"</f>
        <v>4hr</v>
      </c>
      <c r="O3" s="3" t="str">
        <f>P3&amp;"uM"</f>
        <v>0.1uM</v>
      </c>
      <c r="P3" s="3">
        <v>0.1</v>
      </c>
      <c r="Q3" s="3">
        <v>1</v>
      </c>
      <c r="R3">
        <v>2</v>
      </c>
      <c r="S3" s="3" t="str">
        <f>I3&amp;"_ "&amp;J3&amp;"_ "&amp;N3&amp;"_ "&amp;O3</f>
        <v>RPTEC-TERT1_ CSP_ 4hr_ 0.1uM</v>
      </c>
      <c r="T3" s="3" t="s">
        <v>388</v>
      </c>
      <c r="U3" s="3" t="s">
        <v>401</v>
      </c>
      <c r="V3" s="3">
        <v>4102283</v>
      </c>
      <c r="W3" s="3">
        <v>194.31969115626899</v>
      </c>
      <c r="X3" s="3">
        <v>4</v>
      </c>
    </row>
    <row r="4" spans="1:24" x14ac:dyDescent="0.25">
      <c r="A4" s="3" t="s">
        <v>92</v>
      </c>
      <c r="B4" s="3" t="str">
        <f>H4&amp;"_ "&amp;I4&amp;"_ "&amp;J4&amp;"_ "&amp;N4&amp;"_ "&amp;O4&amp;"_R"&amp;R4</f>
        <v>Human_ RPTEC-TERT1_ CSP_ 4hr_ 0.1uM_R3</v>
      </c>
      <c r="C4" s="3" t="s">
        <v>15</v>
      </c>
      <c r="D4" s="3" t="str">
        <f>C4&amp;"_"&amp;E4</f>
        <v>LEIDEN_TQ_RPTEC_CSP1_C10</v>
      </c>
      <c r="E4" s="3" t="s">
        <v>93</v>
      </c>
      <c r="F4" s="3" t="s">
        <v>668</v>
      </c>
      <c r="G4" s="3" t="s">
        <v>626</v>
      </c>
      <c r="H4" s="3" t="s">
        <v>627</v>
      </c>
      <c r="I4" s="3" t="s">
        <v>350</v>
      </c>
      <c r="J4" s="3" t="s">
        <v>371</v>
      </c>
      <c r="K4" s="3" t="s">
        <v>671</v>
      </c>
      <c r="L4" s="3" t="s">
        <v>371</v>
      </c>
      <c r="M4" s="3">
        <v>4</v>
      </c>
      <c r="N4" s="3" t="str">
        <f>M4&amp;"hr"</f>
        <v>4hr</v>
      </c>
      <c r="O4" s="3" t="str">
        <f>P4&amp;"uM"</f>
        <v>0.1uM</v>
      </c>
      <c r="P4" s="3">
        <v>0.1</v>
      </c>
      <c r="Q4" s="3">
        <v>1</v>
      </c>
      <c r="R4">
        <v>3</v>
      </c>
      <c r="S4" s="3" t="str">
        <f>I4&amp;"_ "&amp;J4&amp;"_ "&amp;N4&amp;"_ "&amp;O4</f>
        <v>RPTEC-TERT1_ CSP_ 4hr_ 0.1uM</v>
      </c>
      <c r="T4" s="3" t="s">
        <v>388</v>
      </c>
      <c r="U4" s="3" t="s">
        <v>389</v>
      </c>
      <c r="V4" s="3">
        <v>5076545</v>
      </c>
      <c r="W4" s="3">
        <v>240.46918667993</v>
      </c>
      <c r="X4" s="3">
        <v>4</v>
      </c>
    </row>
    <row r="5" spans="1:24" x14ac:dyDescent="0.25">
      <c r="A5" s="3" t="s">
        <v>46</v>
      </c>
      <c r="B5" s="3" t="str">
        <f>H5&amp;"_ "&amp;I5&amp;"_ "&amp;J5&amp;"_ "&amp;N5&amp;"_ "&amp;O5&amp;"_R"&amp;R5</f>
        <v>Human_ RPTEC-TERT1_ CSP_ 4hr_ 0.5uM_R1</v>
      </c>
      <c r="C5" s="3" t="s">
        <v>15</v>
      </c>
      <c r="D5" s="3" t="str">
        <f>C5&amp;"_"&amp;E5</f>
        <v>LEIDEN_TQ_RPTEC_CSP1_A09</v>
      </c>
      <c r="E5" s="3" t="s">
        <v>47</v>
      </c>
      <c r="F5" s="3" t="s">
        <v>668</v>
      </c>
      <c r="G5" s="3" t="s">
        <v>626</v>
      </c>
      <c r="H5" s="3" t="s">
        <v>627</v>
      </c>
      <c r="I5" s="3" t="s">
        <v>350</v>
      </c>
      <c r="J5" s="3" t="s">
        <v>371</v>
      </c>
      <c r="K5" s="3" t="s">
        <v>671</v>
      </c>
      <c r="L5" s="3" t="s">
        <v>371</v>
      </c>
      <c r="M5" s="3">
        <v>4</v>
      </c>
      <c r="N5" s="3" t="str">
        <f>M5&amp;"hr"</f>
        <v>4hr</v>
      </c>
      <c r="O5" s="3" t="str">
        <f>P5&amp;"uM"</f>
        <v>0.5uM</v>
      </c>
      <c r="P5" s="3">
        <v>0.5</v>
      </c>
      <c r="Q5" s="3">
        <v>2</v>
      </c>
      <c r="R5">
        <v>1</v>
      </c>
      <c r="S5" s="3" t="str">
        <f>I5&amp;"_ "&amp;J5&amp;"_ "&amp;N5&amp;"_ "&amp;O5</f>
        <v>RPTEC-TERT1_ CSP_ 4hr_ 0.5uM</v>
      </c>
      <c r="T5" s="3" t="s">
        <v>386</v>
      </c>
      <c r="U5" s="3" t="s">
        <v>387</v>
      </c>
      <c r="V5" s="3">
        <v>4444916</v>
      </c>
      <c r="W5" s="3">
        <v>210.549760788215</v>
      </c>
      <c r="X5" s="3">
        <v>4</v>
      </c>
    </row>
    <row r="6" spans="1:24" x14ac:dyDescent="0.25">
      <c r="A6" s="3" t="s">
        <v>68</v>
      </c>
      <c r="B6" s="3" t="str">
        <f>H6&amp;"_ "&amp;I6&amp;"_ "&amp;J6&amp;"_ "&amp;N6&amp;"_ "&amp;O6&amp;"_R"&amp;R6</f>
        <v>Human_ RPTEC-TERT1_ CSP_ 4hr_ 0.5uM_R2</v>
      </c>
      <c r="C6" s="3" t="s">
        <v>15</v>
      </c>
      <c r="D6" s="3" t="str">
        <f>C6&amp;"_"&amp;E6</f>
        <v>LEIDEN_TQ_RPTEC_CSP1_B09</v>
      </c>
      <c r="E6" s="3" t="s">
        <v>69</v>
      </c>
      <c r="F6" s="3" t="s">
        <v>668</v>
      </c>
      <c r="G6" s="3" t="s">
        <v>626</v>
      </c>
      <c r="H6" s="3" t="s">
        <v>627</v>
      </c>
      <c r="I6" s="3" t="s">
        <v>350</v>
      </c>
      <c r="J6" s="3" t="s">
        <v>371</v>
      </c>
      <c r="K6" s="3" t="s">
        <v>671</v>
      </c>
      <c r="L6" s="3" t="s">
        <v>371</v>
      </c>
      <c r="M6" s="3">
        <v>4</v>
      </c>
      <c r="N6" s="3" t="str">
        <f>M6&amp;"hr"</f>
        <v>4hr</v>
      </c>
      <c r="O6" s="3" t="str">
        <f>P6&amp;"uM"</f>
        <v>0.5uM</v>
      </c>
      <c r="P6" s="3">
        <v>0.5</v>
      </c>
      <c r="Q6" s="3">
        <v>2</v>
      </c>
      <c r="R6">
        <v>2</v>
      </c>
      <c r="S6" s="3" t="str">
        <f>I6&amp;"_ "&amp;J6&amp;"_ "&amp;N6&amp;"_ "&amp;O6</f>
        <v>RPTEC-TERT1_ CSP_ 4hr_ 0.5uM</v>
      </c>
      <c r="T6" s="3" t="s">
        <v>386</v>
      </c>
      <c r="U6" s="3" t="s">
        <v>400</v>
      </c>
      <c r="V6" s="3">
        <v>4126227</v>
      </c>
      <c r="W6" s="3">
        <v>195.45388659940301</v>
      </c>
      <c r="X6" s="3">
        <v>4</v>
      </c>
    </row>
    <row r="7" spans="1:24" x14ac:dyDescent="0.25">
      <c r="A7" s="3" t="s">
        <v>90</v>
      </c>
      <c r="B7" s="3" t="str">
        <f>H7&amp;"_ "&amp;I7&amp;"_ "&amp;J7&amp;"_ "&amp;N7&amp;"_ "&amp;O7&amp;"_R"&amp;R7</f>
        <v>Human_ RPTEC-TERT1_ CSP_ 4hr_ 0.5uM_R3</v>
      </c>
      <c r="C7" s="3" t="s">
        <v>15</v>
      </c>
      <c r="D7" s="3" t="str">
        <f>C7&amp;"_"&amp;E7</f>
        <v>LEIDEN_TQ_RPTEC_CSP1_C09</v>
      </c>
      <c r="E7" s="3" t="s">
        <v>91</v>
      </c>
      <c r="F7" s="3" t="s">
        <v>668</v>
      </c>
      <c r="G7" s="3" t="s">
        <v>626</v>
      </c>
      <c r="H7" s="3" t="s">
        <v>627</v>
      </c>
      <c r="I7" s="3" t="s">
        <v>350</v>
      </c>
      <c r="J7" s="3" t="s">
        <v>371</v>
      </c>
      <c r="K7" s="3" t="s">
        <v>671</v>
      </c>
      <c r="L7" s="3" t="s">
        <v>371</v>
      </c>
      <c r="M7" s="3">
        <v>4</v>
      </c>
      <c r="N7" s="3" t="str">
        <f>M7&amp;"hr"</f>
        <v>4hr</v>
      </c>
      <c r="O7" s="3" t="str">
        <f>P7&amp;"uM"</f>
        <v>0.5uM</v>
      </c>
      <c r="P7" s="3">
        <v>0.5</v>
      </c>
      <c r="Q7" s="3">
        <v>2</v>
      </c>
      <c r="R7">
        <v>3</v>
      </c>
      <c r="S7" s="3" t="str">
        <f>I7&amp;"_ "&amp;J7&amp;"_ "&amp;N7&amp;"_ "&amp;O7</f>
        <v>RPTEC-TERT1_ CSP_ 4hr_ 0.5uM</v>
      </c>
      <c r="T7" s="3" t="s">
        <v>386</v>
      </c>
      <c r="U7" s="3" t="s">
        <v>411</v>
      </c>
      <c r="V7" s="3">
        <v>4233652</v>
      </c>
      <c r="W7" s="3">
        <v>200.54246601297899</v>
      </c>
      <c r="X7" s="3">
        <v>4</v>
      </c>
    </row>
    <row r="8" spans="1:24" x14ac:dyDescent="0.25">
      <c r="A8" s="3" t="s">
        <v>44</v>
      </c>
      <c r="B8" s="3" t="str">
        <f>H8&amp;"_ "&amp;I8&amp;"_ "&amp;J8&amp;"_ "&amp;N8&amp;"_ "&amp;O8&amp;"_R"&amp;R8</f>
        <v>Human_ RPTEC-TERT1_ CSP_ 4hr_ 1uM_R1</v>
      </c>
      <c r="C8" s="3" t="s">
        <v>15</v>
      </c>
      <c r="D8" s="3" t="str">
        <f>C8&amp;"_"&amp;E8</f>
        <v>LEIDEN_TQ_RPTEC_CSP1_A08</v>
      </c>
      <c r="E8" s="3" t="s">
        <v>45</v>
      </c>
      <c r="F8" s="3" t="s">
        <v>668</v>
      </c>
      <c r="G8" s="3" t="s">
        <v>626</v>
      </c>
      <c r="H8" s="3" t="s">
        <v>627</v>
      </c>
      <c r="I8" s="3" t="s">
        <v>350</v>
      </c>
      <c r="J8" s="3" t="s">
        <v>371</v>
      </c>
      <c r="K8" s="3" t="s">
        <v>671</v>
      </c>
      <c r="L8" s="3" t="s">
        <v>371</v>
      </c>
      <c r="M8" s="3">
        <v>4</v>
      </c>
      <c r="N8" s="3" t="str">
        <f>M8&amp;"hr"</f>
        <v>4hr</v>
      </c>
      <c r="O8" s="3" t="str">
        <f>P8&amp;"uM"</f>
        <v>1uM</v>
      </c>
      <c r="P8" s="3">
        <v>1</v>
      </c>
      <c r="Q8" s="3">
        <v>3</v>
      </c>
      <c r="R8">
        <v>1</v>
      </c>
      <c r="S8" s="3" t="str">
        <f>I8&amp;"_ "&amp;J8&amp;"_ "&amp;N8&amp;"_ "&amp;O8</f>
        <v>RPTEC-TERT1_ CSP_ 4hr_ 1uM</v>
      </c>
      <c r="T8" s="3" t="s">
        <v>384</v>
      </c>
      <c r="U8" s="3" t="s">
        <v>385</v>
      </c>
      <c r="V8" s="3">
        <v>4661641</v>
      </c>
      <c r="W8" s="3">
        <v>220.815735872294</v>
      </c>
      <c r="X8" s="3">
        <v>4</v>
      </c>
    </row>
    <row r="9" spans="1:24" x14ac:dyDescent="0.25">
      <c r="A9" s="3" t="s">
        <v>66</v>
      </c>
      <c r="B9" s="3" t="str">
        <f>H9&amp;"_ "&amp;I9&amp;"_ "&amp;J9&amp;"_ "&amp;N9&amp;"_ "&amp;O9&amp;"_R"&amp;R9</f>
        <v>Human_ RPTEC-TERT1_ CSP_ 4hr_ 1uM_R2</v>
      </c>
      <c r="C9" s="3" t="s">
        <v>15</v>
      </c>
      <c r="D9" s="3" t="str">
        <f>C9&amp;"_"&amp;E9</f>
        <v>LEIDEN_TQ_RPTEC_CSP1_B08</v>
      </c>
      <c r="E9" s="3" t="s">
        <v>67</v>
      </c>
      <c r="F9" s="3" t="s">
        <v>668</v>
      </c>
      <c r="G9" s="3" t="s">
        <v>626</v>
      </c>
      <c r="H9" s="3" t="s">
        <v>627</v>
      </c>
      <c r="I9" s="3" t="s">
        <v>350</v>
      </c>
      <c r="J9" s="3" t="s">
        <v>371</v>
      </c>
      <c r="K9" s="3" t="s">
        <v>671</v>
      </c>
      <c r="L9" s="3" t="s">
        <v>371</v>
      </c>
      <c r="M9" s="3">
        <v>4</v>
      </c>
      <c r="N9" s="3" t="str">
        <f>M9&amp;"hr"</f>
        <v>4hr</v>
      </c>
      <c r="O9" s="3" t="str">
        <f>P9&amp;"uM"</f>
        <v>1uM</v>
      </c>
      <c r="P9" s="3">
        <v>1</v>
      </c>
      <c r="Q9" s="3">
        <v>3</v>
      </c>
      <c r="R9">
        <v>2</v>
      </c>
      <c r="S9" s="3" t="str">
        <f>I9&amp;"_ "&amp;J9&amp;"_ "&amp;N9&amp;"_ "&amp;O9</f>
        <v>RPTEC-TERT1_ CSP_ 4hr_ 1uM</v>
      </c>
      <c r="T9" s="3" t="s">
        <v>384</v>
      </c>
      <c r="U9" s="3" t="s">
        <v>399</v>
      </c>
      <c r="V9" s="3">
        <v>5221871</v>
      </c>
      <c r="W9" s="3">
        <v>247.35308606887401</v>
      </c>
      <c r="X9" s="3">
        <v>4</v>
      </c>
    </row>
    <row r="10" spans="1:24" x14ac:dyDescent="0.25">
      <c r="A10" s="3" t="s">
        <v>88</v>
      </c>
      <c r="B10" s="3" t="str">
        <f>H10&amp;"_ "&amp;I10&amp;"_ "&amp;J10&amp;"_ "&amp;N10&amp;"_ "&amp;O10&amp;"_R"&amp;R10</f>
        <v>Human_ RPTEC-TERT1_ CSP_ 4hr_ 1uM_R3</v>
      </c>
      <c r="C10" s="3" t="s">
        <v>15</v>
      </c>
      <c r="D10" s="3" t="str">
        <f>C10&amp;"_"&amp;E10</f>
        <v>LEIDEN_TQ_RPTEC_CSP1_C08</v>
      </c>
      <c r="E10" s="3" t="s">
        <v>89</v>
      </c>
      <c r="F10" s="3" t="s">
        <v>668</v>
      </c>
      <c r="G10" s="3" t="s">
        <v>626</v>
      </c>
      <c r="H10" s="3" t="s">
        <v>627</v>
      </c>
      <c r="I10" s="3" t="s">
        <v>350</v>
      </c>
      <c r="J10" s="3" t="s">
        <v>371</v>
      </c>
      <c r="K10" s="3" t="s">
        <v>671</v>
      </c>
      <c r="L10" s="3" t="s">
        <v>371</v>
      </c>
      <c r="M10" s="3">
        <v>4</v>
      </c>
      <c r="N10" s="3" t="str">
        <f>M10&amp;"hr"</f>
        <v>4hr</v>
      </c>
      <c r="O10" s="3" t="str">
        <f>P10&amp;"uM"</f>
        <v>1uM</v>
      </c>
      <c r="P10" s="3">
        <v>1</v>
      </c>
      <c r="Q10" s="3">
        <v>3</v>
      </c>
      <c r="R10">
        <v>3</v>
      </c>
      <c r="S10" s="3" t="str">
        <f>I10&amp;"_ "&amp;J10&amp;"_ "&amp;N10&amp;"_ "&amp;O10</f>
        <v>RPTEC-TERT1_ CSP_ 4hr_ 1uM</v>
      </c>
      <c r="T10" s="3" t="s">
        <v>384</v>
      </c>
      <c r="U10" s="3" t="s">
        <v>410</v>
      </c>
      <c r="V10" s="3">
        <v>4413415</v>
      </c>
      <c r="W10" s="3">
        <v>209.05760030315901</v>
      </c>
      <c r="X10" s="3">
        <v>4</v>
      </c>
    </row>
    <row r="11" spans="1:24" x14ac:dyDescent="0.25">
      <c r="A11" s="3" t="s">
        <v>42</v>
      </c>
      <c r="B11" s="3" t="str">
        <f>H11&amp;"_ "&amp;I11&amp;"_ "&amp;J11&amp;"_ "&amp;N11&amp;"_ "&amp;O11&amp;"_R"&amp;R11</f>
        <v>Human_ RPTEC-TERT1_ CSP_ 4hr_ 2.5uM_R1</v>
      </c>
      <c r="C11" s="3" t="s">
        <v>15</v>
      </c>
      <c r="D11" s="3" t="str">
        <f>C11&amp;"_"&amp;E11</f>
        <v>LEIDEN_TQ_RPTEC_CSP1_A07</v>
      </c>
      <c r="E11" s="3" t="s">
        <v>43</v>
      </c>
      <c r="F11" s="3" t="s">
        <v>668</v>
      </c>
      <c r="G11" s="3" t="s">
        <v>626</v>
      </c>
      <c r="H11" s="3" t="s">
        <v>627</v>
      </c>
      <c r="I11" s="3" t="s">
        <v>350</v>
      </c>
      <c r="J11" s="3" t="s">
        <v>371</v>
      </c>
      <c r="K11" s="3" t="s">
        <v>671</v>
      </c>
      <c r="L11" s="3" t="s">
        <v>371</v>
      </c>
      <c r="M11" s="3">
        <v>4</v>
      </c>
      <c r="N11" s="3" t="str">
        <f>M11&amp;"hr"</f>
        <v>4hr</v>
      </c>
      <c r="O11" s="3" t="str">
        <f>P11&amp;"uM"</f>
        <v>2.5uM</v>
      </c>
      <c r="P11" s="3">
        <v>2.5</v>
      </c>
      <c r="Q11" s="3">
        <v>4</v>
      </c>
      <c r="R11">
        <v>1</v>
      </c>
      <c r="S11" s="3" t="str">
        <f>I11&amp;"_ "&amp;J11&amp;"_ "&amp;N11&amp;"_ "&amp;O11</f>
        <v>RPTEC-TERT1_ CSP_ 4hr_ 2.5uM</v>
      </c>
      <c r="T11" s="3" t="s">
        <v>382</v>
      </c>
      <c r="U11" s="3" t="s">
        <v>383</v>
      </c>
      <c r="V11" s="3">
        <v>6043277</v>
      </c>
      <c r="W11" s="3">
        <v>286.26199611576902</v>
      </c>
      <c r="X11" s="3">
        <v>4</v>
      </c>
    </row>
    <row r="12" spans="1:24" x14ac:dyDescent="0.25">
      <c r="A12" s="3" t="s">
        <v>64</v>
      </c>
      <c r="B12" s="3" t="str">
        <f>H12&amp;"_ "&amp;I12&amp;"_ "&amp;J12&amp;"_ "&amp;N12&amp;"_ "&amp;O12&amp;"_R"&amp;R12</f>
        <v>Human_ RPTEC-TERT1_ CSP_ 4hr_ 2.5uM_R2</v>
      </c>
      <c r="C12" s="3" t="s">
        <v>15</v>
      </c>
      <c r="D12" s="3" t="str">
        <f>C12&amp;"_"&amp;E12</f>
        <v>LEIDEN_TQ_RPTEC_CSP1_B07</v>
      </c>
      <c r="E12" s="3" t="s">
        <v>65</v>
      </c>
      <c r="F12" s="3" t="s">
        <v>668</v>
      </c>
      <c r="G12" s="3" t="s">
        <v>626</v>
      </c>
      <c r="H12" s="3" t="s">
        <v>627</v>
      </c>
      <c r="I12" s="3" t="s">
        <v>350</v>
      </c>
      <c r="J12" s="3" t="s">
        <v>371</v>
      </c>
      <c r="K12" s="3" t="s">
        <v>671</v>
      </c>
      <c r="L12" s="3" t="s">
        <v>371</v>
      </c>
      <c r="M12" s="3">
        <v>4</v>
      </c>
      <c r="N12" s="3" t="str">
        <f>M12&amp;"hr"</f>
        <v>4hr</v>
      </c>
      <c r="O12" s="3" t="str">
        <f>P12&amp;"uM"</f>
        <v>2.5uM</v>
      </c>
      <c r="P12" s="3">
        <v>2.5</v>
      </c>
      <c r="Q12" s="3">
        <v>4</v>
      </c>
      <c r="R12">
        <v>2</v>
      </c>
      <c r="S12" s="3" t="str">
        <f>I12&amp;"_ "&amp;J12&amp;"_ "&amp;N12&amp;"_ "&amp;O12</f>
        <v>RPTEC-TERT1_ CSP_ 4hr_ 2.5uM</v>
      </c>
      <c r="T12" s="3" t="s">
        <v>382</v>
      </c>
      <c r="U12" s="3" t="s">
        <v>398</v>
      </c>
      <c r="V12" s="3">
        <v>3448448</v>
      </c>
      <c r="W12" s="3">
        <v>163.34839657050799</v>
      </c>
      <c r="X12" s="3">
        <v>4</v>
      </c>
    </row>
    <row r="13" spans="1:24" x14ac:dyDescent="0.25">
      <c r="A13" s="3" t="s">
        <v>86</v>
      </c>
      <c r="B13" s="3" t="str">
        <f>H13&amp;"_ "&amp;I13&amp;"_ "&amp;J13&amp;"_ "&amp;N13&amp;"_ "&amp;O13&amp;"_R"&amp;R13</f>
        <v>Human_ RPTEC-TERT1_ CSP_ 4hr_ 2.5uM_R3</v>
      </c>
      <c r="C13" s="3" t="s">
        <v>15</v>
      </c>
      <c r="D13" s="3" t="str">
        <f>C13&amp;"_"&amp;E13</f>
        <v>LEIDEN_TQ_RPTEC_CSP1_C07</v>
      </c>
      <c r="E13" s="3" t="s">
        <v>87</v>
      </c>
      <c r="F13" s="3" t="s">
        <v>668</v>
      </c>
      <c r="G13" s="3" t="s">
        <v>626</v>
      </c>
      <c r="H13" s="3" t="s">
        <v>627</v>
      </c>
      <c r="I13" s="3" t="s">
        <v>350</v>
      </c>
      <c r="J13" s="3" t="s">
        <v>371</v>
      </c>
      <c r="K13" s="3" t="s">
        <v>671</v>
      </c>
      <c r="L13" s="3" t="s">
        <v>371</v>
      </c>
      <c r="M13" s="3">
        <v>4</v>
      </c>
      <c r="N13" s="3" t="str">
        <f>M13&amp;"hr"</f>
        <v>4hr</v>
      </c>
      <c r="O13" s="3" t="str">
        <f>P13&amp;"uM"</f>
        <v>2.5uM</v>
      </c>
      <c r="P13" s="3">
        <v>2.5</v>
      </c>
      <c r="Q13" s="3">
        <v>4</v>
      </c>
      <c r="R13">
        <v>3</v>
      </c>
      <c r="S13" s="3" t="str">
        <f>I13&amp;"_ "&amp;J13&amp;"_ "&amp;N13&amp;"_ "&amp;O13</f>
        <v>RPTEC-TERT1_ CSP_ 4hr_ 2.5uM</v>
      </c>
      <c r="T13" s="3" t="s">
        <v>382</v>
      </c>
      <c r="U13" s="3" t="s">
        <v>409</v>
      </c>
      <c r="V13" s="3">
        <v>4552908</v>
      </c>
      <c r="W13" s="3">
        <v>215.66519823788499</v>
      </c>
      <c r="X13" s="3">
        <v>4</v>
      </c>
    </row>
    <row r="14" spans="1:24" x14ac:dyDescent="0.25">
      <c r="A14" s="3" t="s">
        <v>40</v>
      </c>
      <c r="B14" s="3" t="str">
        <f>H14&amp;"_ "&amp;I14&amp;"_ "&amp;J14&amp;"_ "&amp;N14&amp;"_ "&amp;O14&amp;"_R"&amp;R14</f>
        <v>Human_ RPTEC-TERT1_ CSP_ 4hr_ 5uM_R1</v>
      </c>
      <c r="C14" s="3" t="s">
        <v>15</v>
      </c>
      <c r="D14" s="3" t="str">
        <f>C14&amp;"_"&amp;E14</f>
        <v>LEIDEN_TQ_RPTEC_CSP1_A06</v>
      </c>
      <c r="E14" s="3" t="s">
        <v>41</v>
      </c>
      <c r="F14" s="3" t="s">
        <v>668</v>
      </c>
      <c r="G14" s="3" t="s">
        <v>626</v>
      </c>
      <c r="H14" s="3" t="s">
        <v>627</v>
      </c>
      <c r="I14" s="3" t="s">
        <v>350</v>
      </c>
      <c r="J14" s="3" t="s">
        <v>371</v>
      </c>
      <c r="K14" s="3" t="s">
        <v>671</v>
      </c>
      <c r="L14" s="3" t="s">
        <v>371</v>
      </c>
      <c r="M14" s="3">
        <v>4</v>
      </c>
      <c r="N14" s="3" t="str">
        <f>M14&amp;"hr"</f>
        <v>4hr</v>
      </c>
      <c r="O14" s="3" t="str">
        <f>P14&amp;"uM"</f>
        <v>5uM</v>
      </c>
      <c r="P14" s="3">
        <v>5</v>
      </c>
      <c r="Q14" s="3">
        <v>5</v>
      </c>
      <c r="R14">
        <v>1</v>
      </c>
      <c r="S14" s="3" t="str">
        <f>I14&amp;"_ "&amp;J14&amp;"_ "&amp;N14&amp;"_ "&amp;O14</f>
        <v>RPTEC-TERT1_ CSP_ 4hr_ 5uM</v>
      </c>
      <c r="T14" s="3" t="s">
        <v>380</v>
      </c>
      <c r="U14" s="3" t="s">
        <v>381</v>
      </c>
      <c r="V14" s="3">
        <v>1951281</v>
      </c>
      <c r="W14" s="3">
        <v>92.429586471507704</v>
      </c>
      <c r="X14" s="3">
        <v>4</v>
      </c>
    </row>
    <row r="15" spans="1:24" x14ac:dyDescent="0.25">
      <c r="A15" s="3" t="s">
        <v>62</v>
      </c>
      <c r="B15" s="3" t="str">
        <f>H15&amp;"_ "&amp;I15&amp;"_ "&amp;J15&amp;"_ "&amp;N15&amp;"_ "&amp;O15&amp;"_R"&amp;R15</f>
        <v>Human_ RPTEC-TERT1_ CSP_ 4hr_ 5uM_R2</v>
      </c>
      <c r="C15" s="3" t="s">
        <v>15</v>
      </c>
      <c r="D15" s="3" t="str">
        <f>C15&amp;"_"&amp;E15</f>
        <v>LEIDEN_TQ_RPTEC_CSP1_B06</v>
      </c>
      <c r="E15" s="3" t="s">
        <v>63</v>
      </c>
      <c r="F15" s="3" t="s">
        <v>668</v>
      </c>
      <c r="G15" s="3" t="s">
        <v>626</v>
      </c>
      <c r="H15" s="3" t="s">
        <v>627</v>
      </c>
      <c r="I15" s="3" t="s">
        <v>350</v>
      </c>
      <c r="J15" s="3" t="s">
        <v>371</v>
      </c>
      <c r="K15" s="3" t="s">
        <v>671</v>
      </c>
      <c r="L15" s="3" t="s">
        <v>371</v>
      </c>
      <c r="M15" s="3">
        <v>4</v>
      </c>
      <c r="N15" s="3" t="str">
        <f>M15&amp;"hr"</f>
        <v>4hr</v>
      </c>
      <c r="O15" s="3" t="str">
        <f>P15&amp;"uM"</f>
        <v>5uM</v>
      </c>
      <c r="P15" s="3">
        <v>5</v>
      </c>
      <c r="Q15" s="3">
        <v>5</v>
      </c>
      <c r="R15">
        <v>2</v>
      </c>
      <c r="S15" s="3" t="str">
        <f>I15&amp;"_ "&amp;J15&amp;"_ "&amp;N15&amp;"_ "&amp;O15</f>
        <v>RPTEC-TERT1_ CSP_ 4hr_ 5uM</v>
      </c>
      <c r="T15" s="3" t="s">
        <v>380</v>
      </c>
      <c r="U15" s="3" t="s">
        <v>397</v>
      </c>
      <c r="V15" s="3">
        <v>3214746</v>
      </c>
      <c r="W15" s="3">
        <v>152.27824356970299</v>
      </c>
      <c r="X15" s="3">
        <v>4</v>
      </c>
    </row>
    <row r="16" spans="1:24" x14ac:dyDescent="0.25">
      <c r="A16" s="3" t="s">
        <v>84</v>
      </c>
      <c r="B16" s="3" t="str">
        <f>H16&amp;"_ "&amp;I16&amp;"_ "&amp;J16&amp;"_ "&amp;N16&amp;"_ "&amp;O16&amp;"_R"&amp;R16</f>
        <v>Human_ RPTEC-TERT1_ CSP_ 4hr_ 5uM_R3</v>
      </c>
      <c r="C16" s="3" t="s">
        <v>15</v>
      </c>
      <c r="D16" s="3" t="str">
        <f>C16&amp;"_"&amp;E16</f>
        <v>LEIDEN_TQ_RPTEC_CSP1_C06</v>
      </c>
      <c r="E16" s="3" t="s">
        <v>85</v>
      </c>
      <c r="F16" s="3" t="s">
        <v>668</v>
      </c>
      <c r="G16" s="3" t="s">
        <v>626</v>
      </c>
      <c r="H16" s="3" t="s">
        <v>627</v>
      </c>
      <c r="I16" s="3" t="s">
        <v>350</v>
      </c>
      <c r="J16" s="3" t="s">
        <v>371</v>
      </c>
      <c r="K16" s="3" t="s">
        <v>671</v>
      </c>
      <c r="L16" s="3" t="s">
        <v>371</v>
      </c>
      <c r="M16" s="3">
        <v>4</v>
      </c>
      <c r="N16" s="3" t="str">
        <f>M16&amp;"hr"</f>
        <v>4hr</v>
      </c>
      <c r="O16" s="3" t="str">
        <f>P16&amp;"uM"</f>
        <v>5uM</v>
      </c>
      <c r="P16" s="3">
        <v>5</v>
      </c>
      <c r="Q16" s="3">
        <v>5</v>
      </c>
      <c r="R16">
        <v>3</v>
      </c>
      <c r="S16" s="3" t="str">
        <f>I16&amp;"_ "&amp;J16&amp;"_ "&amp;N16&amp;"_ "&amp;O16</f>
        <v>RPTEC-TERT1_ CSP_ 4hr_ 5uM</v>
      </c>
      <c r="T16" s="3" t="s">
        <v>380</v>
      </c>
      <c r="U16" s="3" t="s">
        <v>408</v>
      </c>
      <c r="V16" s="3">
        <v>2650330</v>
      </c>
      <c r="W16" s="3">
        <v>125.54260811899</v>
      </c>
      <c r="X16" s="3">
        <v>4</v>
      </c>
    </row>
    <row r="17" spans="1:24" x14ac:dyDescent="0.25">
      <c r="A17" s="3" t="s">
        <v>38</v>
      </c>
      <c r="B17" s="3" t="str">
        <f>H17&amp;"_ "&amp;I17&amp;"_ "&amp;J17&amp;"_ "&amp;N17&amp;"_ "&amp;O17&amp;"_R"&amp;R17</f>
        <v>Human_ RPTEC-TERT1_ CSP_ 4hr_ 10uM_R1</v>
      </c>
      <c r="C17" s="3" t="s">
        <v>15</v>
      </c>
      <c r="D17" s="3" t="str">
        <f>C17&amp;"_"&amp;E17</f>
        <v>LEIDEN_TQ_RPTEC_CSP1_A05</v>
      </c>
      <c r="E17" s="3" t="s">
        <v>39</v>
      </c>
      <c r="F17" s="3" t="s">
        <v>668</v>
      </c>
      <c r="G17" s="3" t="s">
        <v>626</v>
      </c>
      <c r="H17" s="3" t="s">
        <v>627</v>
      </c>
      <c r="I17" s="3" t="s">
        <v>350</v>
      </c>
      <c r="J17" s="3" t="s">
        <v>371</v>
      </c>
      <c r="K17" s="3" t="s">
        <v>671</v>
      </c>
      <c r="L17" s="3" t="s">
        <v>371</v>
      </c>
      <c r="M17" s="3">
        <v>4</v>
      </c>
      <c r="N17" s="3" t="str">
        <f>M17&amp;"hr"</f>
        <v>4hr</v>
      </c>
      <c r="O17" s="3" t="str">
        <f>P17&amp;"uM"</f>
        <v>10uM</v>
      </c>
      <c r="P17" s="3">
        <v>10</v>
      </c>
      <c r="Q17" s="3">
        <v>6</v>
      </c>
      <c r="R17">
        <v>1</v>
      </c>
      <c r="S17" s="3" t="str">
        <f>I17&amp;"_ "&amp;J17&amp;"_ "&amp;N17&amp;"_ "&amp;O17</f>
        <v>RPTEC-TERT1_ CSP_ 4hr_ 10uM</v>
      </c>
      <c r="T17" s="3" t="s">
        <v>378</v>
      </c>
      <c r="U17" s="3" t="s">
        <v>379</v>
      </c>
      <c r="V17" s="3">
        <v>5090237</v>
      </c>
      <c r="W17" s="3">
        <v>241.11775851451799</v>
      </c>
      <c r="X17" s="3">
        <v>4</v>
      </c>
    </row>
    <row r="18" spans="1:24" x14ac:dyDescent="0.25">
      <c r="A18" s="3" t="s">
        <v>60</v>
      </c>
      <c r="B18" s="3" t="str">
        <f>H18&amp;"_ "&amp;I18&amp;"_ "&amp;J18&amp;"_ "&amp;N18&amp;"_ "&amp;O18&amp;"_R"&amp;R18</f>
        <v>Human_ RPTEC-TERT1_ CSP_ 4hr_ 10uM_R2</v>
      </c>
      <c r="C18" s="3" t="s">
        <v>15</v>
      </c>
      <c r="D18" s="3" t="str">
        <f>C18&amp;"_"&amp;E18</f>
        <v>LEIDEN_TQ_RPTEC_CSP1_B05</v>
      </c>
      <c r="E18" s="3" t="s">
        <v>61</v>
      </c>
      <c r="F18" s="3" t="s">
        <v>668</v>
      </c>
      <c r="G18" s="3" t="s">
        <v>626</v>
      </c>
      <c r="H18" s="3" t="s">
        <v>627</v>
      </c>
      <c r="I18" s="3" t="s">
        <v>350</v>
      </c>
      <c r="J18" s="3" t="s">
        <v>371</v>
      </c>
      <c r="K18" s="3" t="s">
        <v>671</v>
      </c>
      <c r="L18" s="3" t="s">
        <v>371</v>
      </c>
      <c r="M18" s="3">
        <v>4</v>
      </c>
      <c r="N18" s="3" t="str">
        <f>M18&amp;"hr"</f>
        <v>4hr</v>
      </c>
      <c r="O18" s="3" t="str">
        <f>P18&amp;"uM"</f>
        <v>10uM</v>
      </c>
      <c r="P18" s="3">
        <v>10</v>
      </c>
      <c r="Q18" s="3">
        <v>6</v>
      </c>
      <c r="R18">
        <v>2</v>
      </c>
      <c r="S18" s="3" t="str">
        <f>I18&amp;"_ "&amp;J18&amp;"_ "&amp;N18&amp;"_ "&amp;O18</f>
        <v>RPTEC-TERT1_ CSP_ 4hr_ 10uM</v>
      </c>
      <c r="T18" s="3" t="s">
        <v>378</v>
      </c>
      <c r="U18" s="3" t="s">
        <v>396</v>
      </c>
      <c r="V18" s="3">
        <v>4664444</v>
      </c>
      <c r="W18" s="3">
        <v>220.94851025531699</v>
      </c>
      <c r="X18" s="3">
        <v>4</v>
      </c>
    </row>
    <row r="19" spans="1:24" x14ac:dyDescent="0.25">
      <c r="A19" s="3" t="s">
        <v>82</v>
      </c>
      <c r="B19" s="3" t="str">
        <f>H19&amp;"_ "&amp;I19&amp;"_ "&amp;J19&amp;"_ "&amp;N19&amp;"_ "&amp;O19&amp;"_R"&amp;R19</f>
        <v>Human_ RPTEC-TERT1_ CSP_ 4hr_ 10uM_R3</v>
      </c>
      <c r="C19" s="3" t="s">
        <v>15</v>
      </c>
      <c r="D19" s="3" t="str">
        <f>C19&amp;"_"&amp;E19</f>
        <v>LEIDEN_TQ_RPTEC_CSP1_C05</v>
      </c>
      <c r="E19" s="3" t="s">
        <v>83</v>
      </c>
      <c r="F19" s="3" t="s">
        <v>668</v>
      </c>
      <c r="G19" s="3" t="s">
        <v>626</v>
      </c>
      <c r="H19" s="3" t="s">
        <v>627</v>
      </c>
      <c r="I19" s="3" t="s">
        <v>350</v>
      </c>
      <c r="J19" s="3" t="s">
        <v>371</v>
      </c>
      <c r="K19" s="3" t="s">
        <v>671</v>
      </c>
      <c r="L19" s="3" t="s">
        <v>371</v>
      </c>
      <c r="M19" s="3">
        <v>4</v>
      </c>
      <c r="N19" s="3" t="str">
        <f>M19&amp;"hr"</f>
        <v>4hr</v>
      </c>
      <c r="O19" s="3" t="str">
        <f>P19&amp;"uM"</f>
        <v>10uM</v>
      </c>
      <c r="P19" s="3">
        <v>10</v>
      </c>
      <c r="Q19" s="3">
        <v>6</v>
      </c>
      <c r="R19">
        <v>3</v>
      </c>
      <c r="S19" s="3" t="str">
        <f>I19&amp;"_ "&amp;J19&amp;"_ "&amp;N19&amp;"_ "&amp;O19</f>
        <v>RPTEC-TERT1_ CSP_ 4hr_ 10uM</v>
      </c>
      <c r="T19" s="3" t="s">
        <v>378</v>
      </c>
      <c r="U19" s="3" t="s">
        <v>407</v>
      </c>
      <c r="V19" s="3">
        <v>5341736</v>
      </c>
      <c r="W19" s="3">
        <v>253.030931741746</v>
      </c>
      <c r="X19" s="3">
        <v>4</v>
      </c>
    </row>
    <row r="20" spans="1:24" x14ac:dyDescent="0.25">
      <c r="A20" s="3" t="s">
        <v>36</v>
      </c>
      <c r="B20" s="3" t="str">
        <f>H20&amp;"_ "&amp;I20&amp;"_ "&amp;J20&amp;"_ "&amp;N20&amp;"_ "&amp;O20&amp;"_R"&amp;R20</f>
        <v>Human_ RPTEC-TERT1_ CSP_ 4hr_ 20uM_R1</v>
      </c>
      <c r="C20" s="3" t="s">
        <v>15</v>
      </c>
      <c r="D20" s="3" t="str">
        <f>C20&amp;"_"&amp;E20</f>
        <v>LEIDEN_TQ_RPTEC_CSP1_A04</v>
      </c>
      <c r="E20" s="3" t="s">
        <v>37</v>
      </c>
      <c r="F20" s="3" t="s">
        <v>668</v>
      </c>
      <c r="G20" s="3" t="s">
        <v>626</v>
      </c>
      <c r="H20" s="3" t="s">
        <v>627</v>
      </c>
      <c r="I20" s="3" t="s">
        <v>350</v>
      </c>
      <c r="J20" s="3" t="s">
        <v>371</v>
      </c>
      <c r="K20" s="3" t="s">
        <v>671</v>
      </c>
      <c r="L20" s="3" t="s">
        <v>371</v>
      </c>
      <c r="M20" s="3">
        <v>4</v>
      </c>
      <c r="N20" s="3" t="str">
        <f>M20&amp;"hr"</f>
        <v>4hr</v>
      </c>
      <c r="O20" s="3" t="str">
        <f>P20&amp;"uM"</f>
        <v>20uM</v>
      </c>
      <c r="P20" s="3">
        <v>20</v>
      </c>
      <c r="Q20" s="3">
        <v>7</v>
      </c>
      <c r="R20">
        <v>1</v>
      </c>
      <c r="S20" s="3" t="str">
        <f>I20&amp;"_ "&amp;J20&amp;"_ "&amp;N20&amp;"_ "&amp;O20</f>
        <v>RPTEC-TERT1_ CSP_ 4hr_ 20uM</v>
      </c>
      <c r="T20" s="3" t="s">
        <v>376</v>
      </c>
      <c r="U20" s="3" t="s">
        <v>377</v>
      </c>
      <c r="V20" s="3">
        <v>5514847</v>
      </c>
      <c r="W20" s="3">
        <v>261.230969636682</v>
      </c>
      <c r="X20" s="3">
        <v>4</v>
      </c>
    </row>
    <row r="21" spans="1:24" x14ac:dyDescent="0.25">
      <c r="A21" s="3" t="s">
        <v>58</v>
      </c>
      <c r="B21" s="3" t="str">
        <f>H21&amp;"_ "&amp;I21&amp;"_ "&amp;J21&amp;"_ "&amp;N21&amp;"_ "&amp;O21&amp;"_R"&amp;R21</f>
        <v>Human_ RPTEC-TERT1_ CSP_ 4hr_ 20uM_R2</v>
      </c>
      <c r="C21" s="3" t="s">
        <v>15</v>
      </c>
      <c r="D21" s="3" t="str">
        <f>C21&amp;"_"&amp;E21</f>
        <v>LEIDEN_TQ_RPTEC_CSP1_B04</v>
      </c>
      <c r="E21" s="3" t="s">
        <v>59</v>
      </c>
      <c r="F21" s="3" t="s">
        <v>668</v>
      </c>
      <c r="G21" s="3" t="s">
        <v>626</v>
      </c>
      <c r="H21" s="3" t="s">
        <v>627</v>
      </c>
      <c r="I21" s="3" t="s">
        <v>350</v>
      </c>
      <c r="J21" s="3" t="s">
        <v>371</v>
      </c>
      <c r="K21" s="3" t="s">
        <v>671</v>
      </c>
      <c r="L21" s="3" t="s">
        <v>371</v>
      </c>
      <c r="M21" s="3">
        <v>4</v>
      </c>
      <c r="N21" s="3" t="str">
        <f>M21&amp;"hr"</f>
        <v>4hr</v>
      </c>
      <c r="O21" s="3" t="str">
        <f>P21&amp;"uM"</f>
        <v>20uM</v>
      </c>
      <c r="P21" s="3">
        <v>20</v>
      </c>
      <c r="Q21" s="3">
        <v>7</v>
      </c>
      <c r="R21">
        <v>2</v>
      </c>
      <c r="S21" s="3" t="str">
        <f>I21&amp;"_ "&amp;J21&amp;"_ "&amp;N21&amp;"_ "&amp;O21</f>
        <v>RPTEC-TERT1_ CSP_ 4hr_ 20uM</v>
      </c>
      <c r="T21" s="3" t="s">
        <v>376</v>
      </c>
      <c r="U21" s="3" t="s">
        <v>395</v>
      </c>
      <c r="V21" s="3">
        <v>5442474</v>
      </c>
      <c r="W21" s="3">
        <v>257.80275685661502</v>
      </c>
      <c r="X21" s="3">
        <v>4</v>
      </c>
    </row>
    <row r="22" spans="1:24" x14ac:dyDescent="0.25">
      <c r="A22" s="3" t="s">
        <v>80</v>
      </c>
      <c r="B22" s="3" t="str">
        <f>H22&amp;"_ "&amp;I22&amp;"_ "&amp;J22&amp;"_ "&amp;N22&amp;"_ "&amp;O22&amp;"_R"&amp;R22</f>
        <v>Human_ RPTEC-TERT1_ CSP_ 4hr_ 20uM_R3</v>
      </c>
      <c r="C22" s="3" t="s">
        <v>15</v>
      </c>
      <c r="D22" s="3" t="str">
        <f>C22&amp;"_"&amp;E22</f>
        <v>LEIDEN_TQ_RPTEC_CSP1_C04</v>
      </c>
      <c r="E22" s="3" t="s">
        <v>81</v>
      </c>
      <c r="F22" s="3" t="s">
        <v>668</v>
      </c>
      <c r="G22" s="3" t="s">
        <v>626</v>
      </c>
      <c r="H22" s="3" t="s">
        <v>627</v>
      </c>
      <c r="I22" s="3" t="s">
        <v>350</v>
      </c>
      <c r="J22" s="3" t="s">
        <v>371</v>
      </c>
      <c r="K22" s="3" t="s">
        <v>671</v>
      </c>
      <c r="L22" s="3" t="s">
        <v>371</v>
      </c>
      <c r="M22" s="3">
        <v>4</v>
      </c>
      <c r="N22" s="3" t="str">
        <f>M22&amp;"hr"</f>
        <v>4hr</v>
      </c>
      <c r="O22" s="3" t="str">
        <f>P22&amp;"uM"</f>
        <v>20uM</v>
      </c>
      <c r="P22" s="3">
        <v>20</v>
      </c>
      <c r="Q22" s="3">
        <v>7</v>
      </c>
      <c r="R22">
        <v>3</v>
      </c>
      <c r="S22" s="3" t="str">
        <f>I22&amp;"_ "&amp;J22&amp;"_ "&amp;N22&amp;"_ "&amp;O22</f>
        <v>RPTEC-TERT1_ CSP_ 4hr_ 20uM</v>
      </c>
      <c r="T22" s="3" t="s">
        <v>376</v>
      </c>
      <c r="U22" s="3" t="s">
        <v>406</v>
      </c>
      <c r="V22" s="3">
        <v>5093794</v>
      </c>
      <c r="W22" s="3">
        <v>241.28624887499399</v>
      </c>
      <c r="X22" s="3">
        <v>4</v>
      </c>
    </row>
    <row r="23" spans="1:24" x14ac:dyDescent="0.25">
      <c r="A23" s="3" t="s">
        <v>34</v>
      </c>
      <c r="B23" s="3" t="str">
        <f>H23&amp;"_ "&amp;I23&amp;"_ "&amp;J23&amp;"_ "&amp;N23&amp;"_ "&amp;O23&amp;"_R"&amp;R23</f>
        <v>Human_ RPTEC-TERT1_ CSP_ 4hr_ 30uM_R1</v>
      </c>
      <c r="C23" s="3" t="s">
        <v>15</v>
      </c>
      <c r="D23" s="3" t="str">
        <f>C23&amp;"_"&amp;E23</f>
        <v>LEIDEN_TQ_RPTEC_CSP1_A03</v>
      </c>
      <c r="E23" s="3" t="s">
        <v>35</v>
      </c>
      <c r="F23" s="3" t="s">
        <v>668</v>
      </c>
      <c r="G23" s="3" t="s">
        <v>626</v>
      </c>
      <c r="H23" s="3" t="s">
        <v>627</v>
      </c>
      <c r="I23" s="3" t="s">
        <v>350</v>
      </c>
      <c r="J23" s="3" t="s">
        <v>371</v>
      </c>
      <c r="K23" s="3" t="s">
        <v>671</v>
      </c>
      <c r="L23" s="3" t="s">
        <v>371</v>
      </c>
      <c r="M23" s="3">
        <v>4</v>
      </c>
      <c r="N23" s="3" t="str">
        <f>M23&amp;"hr"</f>
        <v>4hr</v>
      </c>
      <c r="O23" s="3" t="str">
        <f>P23&amp;"uM"</f>
        <v>30uM</v>
      </c>
      <c r="P23" s="3">
        <v>30</v>
      </c>
      <c r="Q23" s="3">
        <v>8</v>
      </c>
      <c r="R23">
        <v>1</v>
      </c>
      <c r="S23" s="3" t="str">
        <f>I23&amp;"_ "&amp;J23&amp;"_ "&amp;N23&amp;"_ "&amp;O23</f>
        <v>RPTEC-TERT1_ CSP_ 4hr_ 30uM</v>
      </c>
      <c r="T23" s="3" t="s">
        <v>374</v>
      </c>
      <c r="U23" s="3" t="s">
        <v>375</v>
      </c>
      <c r="V23" s="3">
        <v>5378796</v>
      </c>
      <c r="W23" s="3">
        <v>254.78641466534</v>
      </c>
      <c r="X23" s="3">
        <v>4</v>
      </c>
    </row>
    <row r="24" spans="1:24" x14ac:dyDescent="0.25">
      <c r="A24" s="3" t="s">
        <v>56</v>
      </c>
      <c r="B24" s="3" t="str">
        <f>H24&amp;"_ "&amp;I24&amp;"_ "&amp;J24&amp;"_ "&amp;N24&amp;"_ "&amp;O24&amp;"_R"&amp;R24</f>
        <v>Human_ RPTEC-TERT1_ CSP_ 4hr_ 30uM_R2</v>
      </c>
      <c r="C24" s="3" t="s">
        <v>15</v>
      </c>
      <c r="D24" s="3" t="str">
        <f>C24&amp;"_"&amp;E24</f>
        <v>LEIDEN_TQ_RPTEC_CSP1_B03</v>
      </c>
      <c r="E24" s="3" t="s">
        <v>57</v>
      </c>
      <c r="F24" s="3" t="s">
        <v>668</v>
      </c>
      <c r="G24" s="3" t="s">
        <v>626</v>
      </c>
      <c r="H24" s="3" t="s">
        <v>627</v>
      </c>
      <c r="I24" s="3" t="s">
        <v>350</v>
      </c>
      <c r="J24" s="3" t="s">
        <v>371</v>
      </c>
      <c r="K24" s="3" t="s">
        <v>671</v>
      </c>
      <c r="L24" s="3" t="s">
        <v>371</v>
      </c>
      <c r="M24" s="3">
        <v>4</v>
      </c>
      <c r="N24" s="3" t="str">
        <f>M24&amp;"hr"</f>
        <v>4hr</v>
      </c>
      <c r="O24" s="3" t="str">
        <f>P24&amp;"uM"</f>
        <v>30uM</v>
      </c>
      <c r="P24" s="3">
        <v>30</v>
      </c>
      <c r="Q24" s="3">
        <v>8</v>
      </c>
      <c r="R24">
        <v>2</v>
      </c>
      <c r="S24" s="3" t="str">
        <f>I24&amp;"_ "&amp;J24&amp;"_ "&amp;N24&amp;"_ "&amp;O24</f>
        <v>RPTEC-TERT1_ CSP_ 4hr_ 30uM</v>
      </c>
      <c r="T24" s="3" t="s">
        <v>374</v>
      </c>
      <c r="U24" s="3" t="s">
        <v>394</v>
      </c>
      <c r="V24" s="3">
        <v>4484615</v>
      </c>
      <c r="W24" s="3">
        <v>212.43024963289301</v>
      </c>
      <c r="X24" s="3">
        <v>4</v>
      </c>
    </row>
    <row r="25" spans="1:24" x14ac:dyDescent="0.25">
      <c r="A25" s="3" t="s">
        <v>78</v>
      </c>
      <c r="B25" s="3" t="str">
        <f>H25&amp;"_ "&amp;I25&amp;"_ "&amp;J25&amp;"_ "&amp;N25&amp;"_ "&amp;O25&amp;"_R"&amp;R25</f>
        <v>Human_ RPTEC-TERT1_ CSP_ 4hr_ 30uM_R3</v>
      </c>
      <c r="C25" s="3" t="s">
        <v>15</v>
      </c>
      <c r="D25" s="3" t="str">
        <f>C25&amp;"_"&amp;E25</f>
        <v>LEIDEN_TQ_RPTEC_CSP1_C03</v>
      </c>
      <c r="E25" s="3" t="s">
        <v>79</v>
      </c>
      <c r="F25" s="3" t="s">
        <v>668</v>
      </c>
      <c r="G25" s="3" t="s">
        <v>626</v>
      </c>
      <c r="H25" s="3" t="s">
        <v>627</v>
      </c>
      <c r="I25" s="3" t="s">
        <v>350</v>
      </c>
      <c r="J25" s="3" t="s">
        <v>371</v>
      </c>
      <c r="K25" s="3" t="s">
        <v>671</v>
      </c>
      <c r="L25" s="3" t="s">
        <v>371</v>
      </c>
      <c r="M25" s="3">
        <v>4</v>
      </c>
      <c r="N25" s="3" t="str">
        <f>M25&amp;"hr"</f>
        <v>4hr</v>
      </c>
      <c r="O25" s="3" t="str">
        <f>P25&amp;"uM"</f>
        <v>30uM</v>
      </c>
      <c r="P25" s="3">
        <v>30</v>
      </c>
      <c r="Q25" s="3">
        <v>8</v>
      </c>
      <c r="R25">
        <v>3</v>
      </c>
      <c r="S25" s="3" t="str">
        <f>I25&amp;"_ "&amp;J25&amp;"_ "&amp;N25&amp;"_ "&amp;O25</f>
        <v>RPTEC-TERT1_ CSP_ 4hr_ 30uM</v>
      </c>
      <c r="T25" s="3" t="s">
        <v>374</v>
      </c>
      <c r="U25" s="3" t="s">
        <v>405</v>
      </c>
      <c r="V25" s="3">
        <v>1549806</v>
      </c>
      <c r="W25" s="3">
        <v>73.412249538155507</v>
      </c>
      <c r="X25" s="3">
        <v>4</v>
      </c>
    </row>
    <row r="26" spans="1:24" x14ac:dyDescent="0.25">
      <c r="A26" s="3" t="s">
        <v>32</v>
      </c>
      <c r="B26" s="3" t="str">
        <f>H26&amp;"_ "&amp;I26&amp;"_ "&amp;J26&amp;"_ "&amp;N26&amp;"_ "&amp;O26&amp;"_R"&amp;R26</f>
        <v>Human_ RPTEC-TERT1_ CSP_ 4hr_ 50uM_R1</v>
      </c>
      <c r="C26" s="3" t="s">
        <v>15</v>
      </c>
      <c r="D26" s="3" t="str">
        <f>C26&amp;"_"&amp;E26</f>
        <v>LEIDEN_TQ_RPTEC_CSP1_A02</v>
      </c>
      <c r="E26" s="3" t="s">
        <v>33</v>
      </c>
      <c r="F26" s="3" t="s">
        <v>668</v>
      </c>
      <c r="G26" s="3" t="s">
        <v>626</v>
      </c>
      <c r="H26" s="3" t="s">
        <v>627</v>
      </c>
      <c r="I26" s="3" t="s">
        <v>350</v>
      </c>
      <c r="J26" s="3" t="s">
        <v>371</v>
      </c>
      <c r="K26" s="3" t="s">
        <v>671</v>
      </c>
      <c r="L26" s="3" t="s">
        <v>371</v>
      </c>
      <c r="M26" s="3">
        <v>4</v>
      </c>
      <c r="N26" s="3" t="str">
        <f>M26&amp;"hr"</f>
        <v>4hr</v>
      </c>
      <c r="O26" s="3" t="str">
        <f>P26&amp;"uM"</f>
        <v>50uM</v>
      </c>
      <c r="P26" s="3">
        <v>50</v>
      </c>
      <c r="Q26" s="3">
        <v>9</v>
      </c>
      <c r="R26">
        <v>1</v>
      </c>
      <c r="S26" s="3" t="str">
        <f>I26&amp;"_ "&amp;J26&amp;"_ "&amp;N26&amp;"_ "&amp;O26</f>
        <v>RPTEC-TERT1_ CSP_ 4hr_ 50uM</v>
      </c>
      <c r="T26" s="3" t="s">
        <v>372</v>
      </c>
      <c r="U26" s="3" t="s">
        <v>373</v>
      </c>
      <c r="V26" s="3">
        <v>6568420</v>
      </c>
      <c r="W26" s="3">
        <v>311.13732177537798</v>
      </c>
      <c r="X26" s="3">
        <v>4</v>
      </c>
    </row>
    <row r="27" spans="1:24" x14ac:dyDescent="0.25">
      <c r="A27" s="3" t="s">
        <v>54</v>
      </c>
      <c r="B27" s="3" t="str">
        <f>H27&amp;"_ "&amp;I27&amp;"_ "&amp;J27&amp;"_ "&amp;N27&amp;"_ "&amp;O27&amp;"_R"&amp;R27</f>
        <v>Human_ RPTEC-TERT1_ CSP_ 4hr_ 50uM_R2</v>
      </c>
      <c r="C27" s="3" t="s">
        <v>15</v>
      </c>
      <c r="D27" s="3" t="str">
        <f>C27&amp;"_"&amp;E27</f>
        <v>LEIDEN_TQ_RPTEC_CSP1_B02</v>
      </c>
      <c r="E27" s="3" t="s">
        <v>55</v>
      </c>
      <c r="F27" s="3" t="s">
        <v>668</v>
      </c>
      <c r="G27" s="3" t="s">
        <v>626</v>
      </c>
      <c r="H27" s="3" t="s">
        <v>627</v>
      </c>
      <c r="I27" s="3" t="s">
        <v>350</v>
      </c>
      <c r="J27" s="3" t="s">
        <v>371</v>
      </c>
      <c r="K27" s="3" t="s">
        <v>671</v>
      </c>
      <c r="L27" s="3" t="s">
        <v>371</v>
      </c>
      <c r="M27" s="3">
        <v>4</v>
      </c>
      <c r="N27" s="3" t="str">
        <f>M27&amp;"hr"</f>
        <v>4hr</v>
      </c>
      <c r="O27" s="3" t="str">
        <f>P27&amp;"uM"</f>
        <v>50uM</v>
      </c>
      <c r="P27" s="3">
        <v>50</v>
      </c>
      <c r="Q27" s="3">
        <v>9</v>
      </c>
      <c r="R27">
        <v>2</v>
      </c>
      <c r="S27" s="3" t="str">
        <f>I27&amp;"_ "&amp;J27&amp;"_ "&amp;N27&amp;"_ "&amp;O27</f>
        <v>RPTEC-TERT1_ CSP_ 4hr_ 50uM</v>
      </c>
      <c r="T27" s="3" t="s">
        <v>372</v>
      </c>
      <c r="U27" s="3" t="s">
        <v>393</v>
      </c>
      <c r="V27" s="3">
        <v>5042480</v>
      </c>
      <c r="W27" s="3">
        <v>238.85557292406801</v>
      </c>
      <c r="X27" s="3">
        <v>4</v>
      </c>
    </row>
    <row r="28" spans="1:24" x14ac:dyDescent="0.25">
      <c r="A28" s="3" t="s">
        <v>76</v>
      </c>
      <c r="B28" s="3" t="str">
        <f>H28&amp;"_ "&amp;I28&amp;"_ "&amp;J28&amp;"_ "&amp;N28&amp;"_ "&amp;O28&amp;"_R"&amp;R28</f>
        <v>Human_ RPTEC-TERT1_ CSP_ 4hr_ 50uM_R3</v>
      </c>
      <c r="C28" s="3" t="s">
        <v>15</v>
      </c>
      <c r="D28" s="3" t="str">
        <f>C28&amp;"_"&amp;E28</f>
        <v>LEIDEN_TQ_RPTEC_CSP1_C02</v>
      </c>
      <c r="E28" s="3" t="s">
        <v>77</v>
      </c>
      <c r="F28" s="3" t="s">
        <v>668</v>
      </c>
      <c r="G28" s="3" t="s">
        <v>626</v>
      </c>
      <c r="H28" s="3" t="s">
        <v>627</v>
      </c>
      <c r="I28" s="3" t="s">
        <v>350</v>
      </c>
      <c r="J28" s="3" t="s">
        <v>371</v>
      </c>
      <c r="K28" s="3" t="s">
        <v>671</v>
      </c>
      <c r="L28" s="3" t="s">
        <v>371</v>
      </c>
      <c r="M28" s="3">
        <v>4</v>
      </c>
      <c r="N28" s="3" t="str">
        <f>M28&amp;"hr"</f>
        <v>4hr</v>
      </c>
      <c r="O28" s="3" t="str">
        <f>P28&amp;"uM"</f>
        <v>50uM</v>
      </c>
      <c r="P28" s="3">
        <v>50</v>
      </c>
      <c r="Q28" s="3">
        <v>9</v>
      </c>
      <c r="R28">
        <v>3</v>
      </c>
      <c r="S28" s="3" t="str">
        <f>I28&amp;"_ "&amp;J28&amp;"_ "&amp;N28&amp;"_ "&amp;O28</f>
        <v>RPTEC-TERT1_ CSP_ 4hr_ 50uM</v>
      </c>
      <c r="T28" s="3" t="s">
        <v>372</v>
      </c>
      <c r="U28" s="3" t="s">
        <v>404</v>
      </c>
      <c r="V28" s="3">
        <v>5458745</v>
      </c>
      <c r="W28" s="3">
        <v>258.57349249206601</v>
      </c>
      <c r="X28" s="3">
        <v>4</v>
      </c>
    </row>
    <row r="29" spans="1:24" x14ac:dyDescent="0.25">
      <c r="A29" s="3" t="s">
        <v>115</v>
      </c>
      <c r="B29" s="3" t="str">
        <f>H29&amp;"_ "&amp;I29&amp;"_ "&amp;J29&amp;"_ "&amp;N29&amp;"_ "&amp;O29&amp;"_R"&amp;R29</f>
        <v>Human_ RPTEC-TERT1_ CSP_ 8hr_ 0.1uM_R1</v>
      </c>
      <c r="C29" s="3" t="s">
        <v>99</v>
      </c>
      <c r="D29" s="3" t="str">
        <f>C29&amp;"_"&amp;E29</f>
        <v>LEIDEN_TQ_RPTEC_CSP2_D10</v>
      </c>
      <c r="E29" s="3" t="s">
        <v>116</v>
      </c>
      <c r="F29" s="3" t="s">
        <v>669</v>
      </c>
      <c r="G29" s="3" t="s">
        <v>626</v>
      </c>
      <c r="H29" s="3" t="s">
        <v>627</v>
      </c>
      <c r="I29" s="3" t="s">
        <v>350</v>
      </c>
      <c r="J29" s="3" t="s">
        <v>371</v>
      </c>
      <c r="K29" s="3" t="s">
        <v>671</v>
      </c>
      <c r="L29" s="3" t="s">
        <v>371</v>
      </c>
      <c r="M29" s="3">
        <v>8</v>
      </c>
      <c r="N29" s="3" t="str">
        <f>M29&amp;"hr"</f>
        <v>8hr</v>
      </c>
      <c r="O29" s="3" t="str">
        <f>P29&amp;"uM"</f>
        <v>0.1uM</v>
      </c>
      <c r="P29" s="3">
        <v>0.1</v>
      </c>
      <c r="Q29" s="3">
        <v>1</v>
      </c>
      <c r="R29">
        <v>1</v>
      </c>
      <c r="S29" s="3" t="str">
        <f>I29&amp;"_ "&amp;J29&amp;"_ "&amp;N29&amp;"_ "&amp;O29</f>
        <v>RPTEC-TERT1_ CSP_ 8hr_ 0.1uM</v>
      </c>
      <c r="T29" s="3" t="s">
        <v>430</v>
      </c>
      <c r="U29" s="3" t="s">
        <v>431</v>
      </c>
      <c r="V29" s="3">
        <v>1307424</v>
      </c>
      <c r="W29" s="3">
        <v>61.930936478612999</v>
      </c>
      <c r="X29" s="3">
        <v>8</v>
      </c>
    </row>
    <row r="30" spans="1:24" x14ac:dyDescent="0.25">
      <c r="A30" s="3" t="s">
        <v>137</v>
      </c>
      <c r="B30" s="3" t="str">
        <f>H30&amp;"_ "&amp;I30&amp;"_ "&amp;J30&amp;"_ "&amp;N30&amp;"_ "&amp;O30&amp;"_R"&amp;R30</f>
        <v>Human_ RPTEC-TERT1_ CSP_ 8hr_ 0.1uM_R2</v>
      </c>
      <c r="C30" s="3" t="s">
        <v>99</v>
      </c>
      <c r="D30" s="3" t="str">
        <f>C30&amp;"_"&amp;E30</f>
        <v>LEIDEN_TQ_RPTEC_CSP2_E10</v>
      </c>
      <c r="E30" s="3" t="s">
        <v>138</v>
      </c>
      <c r="F30" s="3" t="s">
        <v>669</v>
      </c>
      <c r="G30" s="3" t="s">
        <v>626</v>
      </c>
      <c r="H30" s="3" t="s">
        <v>627</v>
      </c>
      <c r="I30" s="3" t="s">
        <v>350</v>
      </c>
      <c r="J30" s="3" t="s">
        <v>371</v>
      </c>
      <c r="K30" s="3" t="s">
        <v>671</v>
      </c>
      <c r="L30" s="3" t="s">
        <v>371</v>
      </c>
      <c r="M30" s="3">
        <v>8</v>
      </c>
      <c r="N30" s="3" t="str">
        <f>M30&amp;"hr"</f>
        <v>8hr</v>
      </c>
      <c r="O30" s="3" t="str">
        <f>P30&amp;"uM"</f>
        <v>0.1uM</v>
      </c>
      <c r="P30" s="3">
        <v>0.1</v>
      </c>
      <c r="Q30" s="3">
        <v>1</v>
      </c>
      <c r="R30">
        <v>2</v>
      </c>
      <c r="S30" s="3" t="str">
        <f>I30&amp;"_ "&amp;J30&amp;"_ "&amp;N30&amp;"_ "&amp;O30</f>
        <v>RPTEC-TERT1_ CSP_ 8hr_ 0.1uM</v>
      </c>
      <c r="T30" s="3" t="s">
        <v>430</v>
      </c>
      <c r="U30" s="3" t="s">
        <v>443</v>
      </c>
      <c r="V30" s="3">
        <v>4599175</v>
      </c>
      <c r="W30" s="3">
        <v>217.85680450949701</v>
      </c>
      <c r="X30" s="3">
        <v>8</v>
      </c>
    </row>
    <row r="31" spans="1:24" x14ac:dyDescent="0.25">
      <c r="A31" s="3" t="s">
        <v>159</v>
      </c>
      <c r="B31" s="3" t="str">
        <f>H31&amp;"_ "&amp;I31&amp;"_ "&amp;J31&amp;"_ "&amp;N31&amp;"_ "&amp;O31&amp;"_R"&amp;R31</f>
        <v>Human_ RPTEC-TERT1_ CSP_ 8hr_ 0.1uM_R3</v>
      </c>
      <c r="C31" s="3" t="s">
        <v>99</v>
      </c>
      <c r="D31" s="3" t="str">
        <f>C31&amp;"_"&amp;E31</f>
        <v>LEIDEN_TQ_RPTEC_CSP2_F10</v>
      </c>
      <c r="E31" s="3" t="s">
        <v>160</v>
      </c>
      <c r="F31" s="3" t="s">
        <v>669</v>
      </c>
      <c r="G31" s="3" t="s">
        <v>626</v>
      </c>
      <c r="H31" s="3" t="s">
        <v>627</v>
      </c>
      <c r="I31" s="3" t="s">
        <v>350</v>
      </c>
      <c r="J31" s="3" t="s">
        <v>371</v>
      </c>
      <c r="K31" s="3" t="s">
        <v>671</v>
      </c>
      <c r="L31" s="3" t="s">
        <v>371</v>
      </c>
      <c r="M31" s="3">
        <v>8</v>
      </c>
      <c r="N31" s="3" t="str">
        <f>M31&amp;"hr"</f>
        <v>8hr</v>
      </c>
      <c r="O31" s="3" t="str">
        <f>P31&amp;"uM"</f>
        <v>0.1uM</v>
      </c>
      <c r="P31" s="3">
        <v>0.1</v>
      </c>
      <c r="Q31" s="3">
        <v>1</v>
      </c>
      <c r="R31">
        <v>3</v>
      </c>
      <c r="S31" s="3" t="str">
        <f>I31&amp;"_ "&amp;J31&amp;"_ "&amp;N31&amp;"_ "&amp;O31</f>
        <v>RPTEC-TERT1_ CSP_ 8hr_ 0.1uM</v>
      </c>
      <c r="T31" s="3" t="s">
        <v>430</v>
      </c>
      <c r="U31" s="3" t="s">
        <v>431</v>
      </c>
      <c r="V31" s="3">
        <v>4909789</v>
      </c>
      <c r="W31" s="3">
        <v>232.57017668514001</v>
      </c>
      <c r="X31" s="3">
        <v>8</v>
      </c>
    </row>
    <row r="32" spans="1:24" x14ac:dyDescent="0.25">
      <c r="A32" s="3" t="s">
        <v>113</v>
      </c>
      <c r="B32" s="3" t="str">
        <f>H32&amp;"_ "&amp;I32&amp;"_ "&amp;J32&amp;"_ "&amp;N32&amp;"_ "&amp;O32&amp;"_R"&amp;R32</f>
        <v>Human_ RPTEC-TERT1_ CSP_ 8hr_ 0.5uM_R1</v>
      </c>
      <c r="C32" s="3" t="s">
        <v>99</v>
      </c>
      <c r="D32" s="3" t="str">
        <f>C32&amp;"_"&amp;E32</f>
        <v>LEIDEN_TQ_RPTEC_CSP2_D09</v>
      </c>
      <c r="E32" s="3" t="s">
        <v>114</v>
      </c>
      <c r="F32" s="3" t="s">
        <v>669</v>
      </c>
      <c r="G32" s="3" t="s">
        <v>626</v>
      </c>
      <c r="H32" s="3" t="s">
        <v>627</v>
      </c>
      <c r="I32" s="3" t="s">
        <v>350</v>
      </c>
      <c r="J32" s="3" t="s">
        <v>371</v>
      </c>
      <c r="K32" s="3" t="s">
        <v>671</v>
      </c>
      <c r="L32" s="3" t="s">
        <v>371</v>
      </c>
      <c r="M32" s="3">
        <v>8</v>
      </c>
      <c r="N32" s="3" t="str">
        <f>M32&amp;"hr"</f>
        <v>8hr</v>
      </c>
      <c r="O32" s="3" t="str">
        <f>P32&amp;"uM"</f>
        <v>0.5uM</v>
      </c>
      <c r="P32" s="3">
        <v>0.5</v>
      </c>
      <c r="Q32" s="3">
        <v>2</v>
      </c>
      <c r="R32">
        <v>1</v>
      </c>
      <c r="S32" s="3" t="str">
        <f>I32&amp;"_ "&amp;J32&amp;"_ "&amp;N32&amp;"_ "&amp;O32</f>
        <v>RPTEC-TERT1_ CSP_ 8hr_ 0.5uM</v>
      </c>
      <c r="T32" s="3" t="s">
        <v>428</v>
      </c>
      <c r="U32" s="3" t="s">
        <v>429</v>
      </c>
      <c r="V32" s="3">
        <v>4719569</v>
      </c>
      <c r="W32" s="3">
        <v>223.559708208991</v>
      </c>
      <c r="X32" s="3">
        <v>8</v>
      </c>
    </row>
    <row r="33" spans="1:24" x14ac:dyDescent="0.25">
      <c r="A33" s="3" t="s">
        <v>135</v>
      </c>
      <c r="B33" s="3" t="str">
        <f>H33&amp;"_ "&amp;I33&amp;"_ "&amp;J33&amp;"_ "&amp;N33&amp;"_ "&amp;O33&amp;"_R"&amp;R33</f>
        <v>Human_ RPTEC-TERT1_ CSP_ 8hr_ 0.5uM_R2</v>
      </c>
      <c r="C33" s="3" t="s">
        <v>99</v>
      </c>
      <c r="D33" s="3" t="str">
        <f>C33&amp;"_"&amp;E33</f>
        <v>LEIDEN_TQ_RPTEC_CSP2_E09</v>
      </c>
      <c r="E33" s="3" t="s">
        <v>136</v>
      </c>
      <c r="F33" s="3" t="s">
        <v>669</v>
      </c>
      <c r="G33" s="3" t="s">
        <v>626</v>
      </c>
      <c r="H33" s="3" t="s">
        <v>627</v>
      </c>
      <c r="I33" s="3" t="s">
        <v>350</v>
      </c>
      <c r="J33" s="3" t="s">
        <v>371</v>
      </c>
      <c r="K33" s="3" t="s">
        <v>671</v>
      </c>
      <c r="L33" s="3" t="s">
        <v>371</v>
      </c>
      <c r="M33" s="3">
        <v>8</v>
      </c>
      <c r="N33" s="3" t="str">
        <f>M33&amp;"hr"</f>
        <v>8hr</v>
      </c>
      <c r="O33" s="3" t="str">
        <f>P33&amp;"uM"</f>
        <v>0.5uM</v>
      </c>
      <c r="P33" s="3">
        <v>0.5</v>
      </c>
      <c r="Q33" s="3">
        <v>2</v>
      </c>
      <c r="R33">
        <v>2</v>
      </c>
      <c r="S33" s="3" t="str">
        <f>I33&amp;"_ "&amp;J33&amp;"_ "&amp;N33&amp;"_ "&amp;O33</f>
        <v>RPTEC-TERT1_ CSP_ 8hr_ 0.5uM</v>
      </c>
      <c r="T33" s="3" t="s">
        <v>428</v>
      </c>
      <c r="U33" s="3" t="s">
        <v>442</v>
      </c>
      <c r="V33" s="3">
        <v>5150614</v>
      </c>
      <c r="W33" s="3">
        <v>243.97773672493</v>
      </c>
      <c r="X33" s="3">
        <v>8</v>
      </c>
    </row>
    <row r="34" spans="1:24" x14ac:dyDescent="0.25">
      <c r="A34" s="3" t="s">
        <v>157</v>
      </c>
      <c r="B34" s="3" t="str">
        <f>H34&amp;"_ "&amp;I34&amp;"_ "&amp;J34&amp;"_ "&amp;N34&amp;"_ "&amp;O34&amp;"_R"&amp;R34</f>
        <v>Human_ RPTEC-TERT1_ CSP_ 8hr_ 0.5uM_R3</v>
      </c>
      <c r="C34" s="3" t="s">
        <v>99</v>
      </c>
      <c r="D34" s="3" t="str">
        <f>C34&amp;"_"&amp;E34</f>
        <v>LEIDEN_TQ_RPTEC_CSP2_F09</v>
      </c>
      <c r="E34" s="3" t="s">
        <v>158</v>
      </c>
      <c r="F34" s="3" t="s">
        <v>669</v>
      </c>
      <c r="G34" s="3" t="s">
        <v>626</v>
      </c>
      <c r="H34" s="3" t="s">
        <v>627</v>
      </c>
      <c r="I34" s="3" t="s">
        <v>350</v>
      </c>
      <c r="J34" s="3" t="s">
        <v>371</v>
      </c>
      <c r="K34" s="3" t="s">
        <v>671</v>
      </c>
      <c r="L34" s="3" t="s">
        <v>371</v>
      </c>
      <c r="M34" s="3">
        <v>8</v>
      </c>
      <c r="N34" s="3" t="str">
        <f>M34&amp;"hr"</f>
        <v>8hr</v>
      </c>
      <c r="O34" s="3" t="str">
        <f>P34&amp;"uM"</f>
        <v>0.5uM</v>
      </c>
      <c r="P34" s="3">
        <v>0.5</v>
      </c>
      <c r="Q34" s="3">
        <v>2</v>
      </c>
      <c r="R34">
        <v>3</v>
      </c>
      <c r="S34" s="3" t="str">
        <f>I34&amp;"_ "&amp;J34&amp;"_ "&amp;N34&amp;"_ "&amp;O34</f>
        <v>RPTEC-TERT1_ CSP_ 8hr_ 0.5uM</v>
      </c>
      <c r="T34" s="3" t="s">
        <v>428</v>
      </c>
      <c r="U34" s="3" t="s">
        <v>453</v>
      </c>
      <c r="V34" s="3">
        <v>4534946</v>
      </c>
      <c r="W34" s="3">
        <v>214.814362180854</v>
      </c>
      <c r="X34" s="3">
        <v>8</v>
      </c>
    </row>
    <row r="35" spans="1:24" x14ac:dyDescent="0.25">
      <c r="A35" s="3" t="s">
        <v>111</v>
      </c>
      <c r="B35" s="3" t="str">
        <f>H35&amp;"_ "&amp;I35&amp;"_ "&amp;J35&amp;"_ "&amp;N35&amp;"_ "&amp;O35&amp;"_R"&amp;R35</f>
        <v>Human_ RPTEC-TERT1_ CSP_ 8hr_ 1uM_R1</v>
      </c>
      <c r="C35" s="3" t="s">
        <v>99</v>
      </c>
      <c r="D35" s="3" t="str">
        <f>C35&amp;"_"&amp;E35</f>
        <v>LEIDEN_TQ_RPTEC_CSP2_D08</v>
      </c>
      <c r="E35" s="3" t="s">
        <v>112</v>
      </c>
      <c r="F35" s="3" t="s">
        <v>669</v>
      </c>
      <c r="G35" s="3" t="s">
        <v>626</v>
      </c>
      <c r="H35" s="3" t="s">
        <v>627</v>
      </c>
      <c r="I35" s="3" t="s">
        <v>350</v>
      </c>
      <c r="J35" s="3" t="s">
        <v>371</v>
      </c>
      <c r="K35" s="3" t="s">
        <v>671</v>
      </c>
      <c r="L35" s="3" t="s">
        <v>371</v>
      </c>
      <c r="M35" s="3">
        <v>8</v>
      </c>
      <c r="N35" s="3" t="str">
        <f>M35&amp;"hr"</f>
        <v>8hr</v>
      </c>
      <c r="O35" s="3" t="str">
        <f>P35&amp;"uM"</f>
        <v>1uM</v>
      </c>
      <c r="P35" s="3">
        <v>1</v>
      </c>
      <c r="Q35" s="3">
        <v>3</v>
      </c>
      <c r="R35">
        <v>1</v>
      </c>
      <c r="S35" s="3" t="str">
        <f>I35&amp;"_ "&amp;J35&amp;"_ "&amp;N35&amp;"_ "&amp;O35</f>
        <v>RPTEC-TERT1_ CSP_ 8hr_ 1uM</v>
      </c>
      <c r="T35" s="3" t="s">
        <v>426</v>
      </c>
      <c r="U35" s="3" t="s">
        <v>427</v>
      </c>
      <c r="V35" s="3">
        <v>4771311</v>
      </c>
      <c r="W35" s="3">
        <v>226.01065795083099</v>
      </c>
      <c r="X35" s="3">
        <v>8</v>
      </c>
    </row>
    <row r="36" spans="1:24" x14ac:dyDescent="0.25">
      <c r="A36" s="3" t="s">
        <v>133</v>
      </c>
      <c r="B36" s="3" t="str">
        <f>H36&amp;"_ "&amp;I36&amp;"_ "&amp;J36&amp;"_ "&amp;N36&amp;"_ "&amp;O36&amp;"_R"&amp;R36</f>
        <v>Human_ RPTEC-TERT1_ CSP_ 8hr_ 1uM_R2</v>
      </c>
      <c r="C36" s="3" t="s">
        <v>99</v>
      </c>
      <c r="D36" s="3" t="str">
        <f>C36&amp;"_"&amp;E36</f>
        <v>LEIDEN_TQ_RPTEC_CSP2_E08</v>
      </c>
      <c r="E36" s="3" t="s">
        <v>134</v>
      </c>
      <c r="F36" s="3" t="s">
        <v>669</v>
      </c>
      <c r="G36" s="3" t="s">
        <v>626</v>
      </c>
      <c r="H36" s="3" t="s">
        <v>627</v>
      </c>
      <c r="I36" s="3" t="s">
        <v>350</v>
      </c>
      <c r="J36" s="3" t="s">
        <v>371</v>
      </c>
      <c r="K36" s="3" t="s">
        <v>671</v>
      </c>
      <c r="L36" s="3" t="s">
        <v>371</v>
      </c>
      <c r="M36" s="3">
        <v>8</v>
      </c>
      <c r="N36" s="3" t="str">
        <f>M36&amp;"hr"</f>
        <v>8hr</v>
      </c>
      <c r="O36" s="3" t="str">
        <f>P36&amp;"uM"</f>
        <v>1uM</v>
      </c>
      <c r="P36" s="3">
        <v>1</v>
      </c>
      <c r="Q36" s="3">
        <v>3</v>
      </c>
      <c r="R36">
        <v>2</v>
      </c>
      <c r="S36" s="3" t="str">
        <f>I36&amp;"_ "&amp;J36&amp;"_ "&amp;N36&amp;"_ "&amp;O36</f>
        <v>RPTEC-TERT1_ CSP_ 8hr_ 1uM</v>
      </c>
      <c r="T36" s="3" t="s">
        <v>426</v>
      </c>
      <c r="U36" s="3" t="s">
        <v>441</v>
      </c>
      <c r="V36" s="3">
        <v>4987573</v>
      </c>
      <c r="W36" s="3">
        <v>236.25470134053299</v>
      </c>
      <c r="X36" s="3">
        <v>8</v>
      </c>
    </row>
    <row r="37" spans="1:24" x14ac:dyDescent="0.25">
      <c r="A37" s="3" t="s">
        <v>155</v>
      </c>
      <c r="B37" s="3" t="str">
        <f>H37&amp;"_ "&amp;I37&amp;"_ "&amp;J37&amp;"_ "&amp;N37&amp;"_ "&amp;O37&amp;"_R"&amp;R37</f>
        <v>Human_ RPTEC-TERT1_ CSP_ 8hr_ 1uM_R3</v>
      </c>
      <c r="C37" s="3" t="s">
        <v>99</v>
      </c>
      <c r="D37" s="3" t="str">
        <f>C37&amp;"_"&amp;E37</f>
        <v>LEIDEN_TQ_RPTEC_CSP2_F08</v>
      </c>
      <c r="E37" s="3" t="s">
        <v>156</v>
      </c>
      <c r="F37" s="3" t="s">
        <v>669</v>
      </c>
      <c r="G37" s="3" t="s">
        <v>626</v>
      </c>
      <c r="H37" s="3" t="s">
        <v>627</v>
      </c>
      <c r="I37" s="3" t="s">
        <v>350</v>
      </c>
      <c r="J37" s="3" t="s">
        <v>371</v>
      </c>
      <c r="K37" s="3" t="s">
        <v>671</v>
      </c>
      <c r="L37" s="3" t="s">
        <v>371</v>
      </c>
      <c r="M37" s="3">
        <v>8</v>
      </c>
      <c r="N37" s="3" t="str">
        <f>M37&amp;"hr"</f>
        <v>8hr</v>
      </c>
      <c r="O37" s="3" t="str">
        <f>P37&amp;"uM"</f>
        <v>1uM</v>
      </c>
      <c r="P37" s="3">
        <v>1</v>
      </c>
      <c r="Q37" s="3">
        <v>3</v>
      </c>
      <c r="R37">
        <v>3</v>
      </c>
      <c r="S37" s="3" t="str">
        <f>I37&amp;"_ "&amp;J37&amp;"_ "&amp;N37&amp;"_ "&amp;O37</f>
        <v>RPTEC-TERT1_ CSP_ 8hr_ 1uM</v>
      </c>
      <c r="T37" s="3" t="s">
        <v>426</v>
      </c>
      <c r="U37" s="3" t="s">
        <v>452</v>
      </c>
      <c r="V37" s="3">
        <v>4775224</v>
      </c>
      <c r="W37" s="3">
        <v>226.19601155795601</v>
      </c>
      <c r="X37" s="3">
        <v>8</v>
      </c>
    </row>
    <row r="38" spans="1:24" x14ac:dyDescent="0.25">
      <c r="A38" s="3" t="s">
        <v>109</v>
      </c>
      <c r="B38" s="3" t="str">
        <f>H38&amp;"_ "&amp;I38&amp;"_ "&amp;J38&amp;"_ "&amp;N38&amp;"_ "&amp;O38&amp;"_R"&amp;R38</f>
        <v>Human_ RPTEC-TERT1_ CSP_ 8hr_ 2.5uM_R1</v>
      </c>
      <c r="C38" s="3" t="s">
        <v>99</v>
      </c>
      <c r="D38" s="3" t="str">
        <f>C38&amp;"_"&amp;E38</f>
        <v>LEIDEN_TQ_RPTEC_CSP2_D07</v>
      </c>
      <c r="E38" s="3" t="s">
        <v>110</v>
      </c>
      <c r="F38" s="3" t="s">
        <v>669</v>
      </c>
      <c r="G38" s="3" t="s">
        <v>626</v>
      </c>
      <c r="H38" s="3" t="s">
        <v>627</v>
      </c>
      <c r="I38" s="3" t="s">
        <v>350</v>
      </c>
      <c r="J38" s="3" t="s">
        <v>371</v>
      </c>
      <c r="K38" s="3" t="s">
        <v>671</v>
      </c>
      <c r="L38" s="3" t="s">
        <v>371</v>
      </c>
      <c r="M38" s="3">
        <v>8</v>
      </c>
      <c r="N38" s="3" t="str">
        <f>M38&amp;"hr"</f>
        <v>8hr</v>
      </c>
      <c r="O38" s="3" t="str">
        <f>P38&amp;"uM"</f>
        <v>2.5uM</v>
      </c>
      <c r="P38" s="3">
        <v>2.5</v>
      </c>
      <c r="Q38" s="3">
        <v>4</v>
      </c>
      <c r="R38">
        <v>1</v>
      </c>
      <c r="S38" s="3" t="str">
        <f>I38&amp;"_ "&amp;J38&amp;"_ "&amp;N38&amp;"_ "&amp;O38</f>
        <v>RPTEC-TERT1_ CSP_ 8hr_ 2.5uM</v>
      </c>
      <c r="T38" s="3" t="s">
        <v>424</v>
      </c>
      <c r="U38" s="3" t="s">
        <v>425</v>
      </c>
      <c r="V38" s="3">
        <v>4592608</v>
      </c>
      <c r="W38" s="3">
        <v>217.54573445123401</v>
      </c>
      <c r="X38" s="3">
        <v>8</v>
      </c>
    </row>
    <row r="39" spans="1:24" x14ac:dyDescent="0.25">
      <c r="A39" s="3" t="s">
        <v>131</v>
      </c>
      <c r="B39" s="3" t="str">
        <f>H39&amp;"_ "&amp;I39&amp;"_ "&amp;J39&amp;"_ "&amp;N39&amp;"_ "&amp;O39&amp;"_R"&amp;R39</f>
        <v>Human_ RPTEC-TERT1_ CSP_ 8hr_ 2.5uM_R2</v>
      </c>
      <c r="C39" s="3" t="s">
        <v>99</v>
      </c>
      <c r="D39" s="3" t="str">
        <f>C39&amp;"_"&amp;E39</f>
        <v>LEIDEN_TQ_RPTEC_CSP2_E07</v>
      </c>
      <c r="E39" s="3" t="s">
        <v>132</v>
      </c>
      <c r="F39" s="3" t="s">
        <v>669</v>
      </c>
      <c r="G39" s="3" t="s">
        <v>626</v>
      </c>
      <c r="H39" s="3" t="s">
        <v>627</v>
      </c>
      <c r="I39" s="3" t="s">
        <v>350</v>
      </c>
      <c r="J39" s="3" t="s">
        <v>371</v>
      </c>
      <c r="K39" s="3" t="s">
        <v>671</v>
      </c>
      <c r="L39" s="3" t="s">
        <v>371</v>
      </c>
      <c r="M39" s="3">
        <v>8</v>
      </c>
      <c r="N39" s="3" t="str">
        <f>M39&amp;"hr"</f>
        <v>8hr</v>
      </c>
      <c r="O39" s="3" t="str">
        <f>P39&amp;"uM"</f>
        <v>2.5uM</v>
      </c>
      <c r="P39" s="3">
        <v>2.5</v>
      </c>
      <c r="Q39" s="3">
        <v>4</v>
      </c>
      <c r="R39">
        <v>2</v>
      </c>
      <c r="S39" s="3" t="str">
        <f>I39&amp;"_ "&amp;J39&amp;"_ "&amp;N39&amp;"_ "&amp;O39</f>
        <v>RPTEC-TERT1_ CSP_ 8hr_ 2.5uM</v>
      </c>
      <c r="T39" s="3" t="s">
        <v>424</v>
      </c>
      <c r="U39" s="3" t="s">
        <v>440</v>
      </c>
      <c r="V39" s="3">
        <v>5538620</v>
      </c>
      <c r="W39" s="3">
        <v>262.35706503718399</v>
      </c>
      <c r="X39" s="3">
        <v>8</v>
      </c>
    </row>
    <row r="40" spans="1:24" x14ac:dyDescent="0.25">
      <c r="A40" s="3" t="s">
        <v>153</v>
      </c>
      <c r="B40" s="3" t="str">
        <f>H40&amp;"_ "&amp;I40&amp;"_ "&amp;J40&amp;"_ "&amp;N40&amp;"_ "&amp;O40&amp;"_R"&amp;R40</f>
        <v>Human_ RPTEC-TERT1_ CSP_ 8hr_ 2.5uM_R3</v>
      </c>
      <c r="C40" s="3" t="s">
        <v>99</v>
      </c>
      <c r="D40" s="3" t="str">
        <f>C40&amp;"_"&amp;E40</f>
        <v>LEIDEN_TQ_RPTEC_CSP2_F07</v>
      </c>
      <c r="E40" s="3" t="s">
        <v>154</v>
      </c>
      <c r="F40" s="3" t="s">
        <v>669</v>
      </c>
      <c r="G40" s="3" t="s">
        <v>626</v>
      </c>
      <c r="H40" s="3" t="s">
        <v>627</v>
      </c>
      <c r="I40" s="3" t="s">
        <v>350</v>
      </c>
      <c r="J40" s="3" t="s">
        <v>371</v>
      </c>
      <c r="K40" s="3" t="s">
        <v>671</v>
      </c>
      <c r="L40" s="3" t="s">
        <v>371</v>
      </c>
      <c r="M40" s="3">
        <v>8</v>
      </c>
      <c r="N40" s="3" t="str">
        <f>M40&amp;"hr"</f>
        <v>8hr</v>
      </c>
      <c r="O40" s="3" t="str">
        <f>P40&amp;"uM"</f>
        <v>2.5uM</v>
      </c>
      <c r="P40" s="3">
        <v>2.5</v>
      </c>
      <c r="Q40" s="3">
        <v>4</v>
      </c>
      <c r="R40">
        <v>3</v>
      </c>
      <c r="S40" s="3" t="str">
        <f>I40&amp;"_ "&amp;J40&amp;"_ "&amp;N40&amp;"_ "&amp;O40</f>
        <v>RPTEC-TERT1_ CSP_ 8hr_ 2.5uM</v>
      </c>
      <c r="T40" s="3" t="s">
        <v>424</v>
      </c>
      <c r="U40" s="3" t="s">
        <v>451</v>
      </c>
      <c r="V40" s="3">
        <v>5229936</v>
      </c>
      <c r="W40" s="3">
        <v>247.735114395339</v>
      </c>
      <c r="X40" s="3">
        <v>8</v>
      </c>
    </row>
    <row r="41" spans="1:24" x14ac:dyDescent="0.25">
      <c r="A41" s="3" t="s">
        <v>107</v>
      </c>
      <c r="B41" s="3" t="str">
        <f>H41&amp;"_ "&amp;I41&amp;"_ "&amp;J41&amp;"_ "&amp;N41&amp;"_ "&amp;O41&amp;"_R"&amp;R41</f>
        <v>Human_ RPTEC-TERT1_ CSP_ 8hr_ 5uM_R1</v>
      </c>
      <c r="C41" s="3" t="s">
        <v>99</v>
      </c>
      <c r="D41" s="3" t="str">
        <f>C41&amp;"_"&amp;E41</f>
        <v>LEIDEN_TQ_RPTEC_CSP2_D06</v>
      </c>
      <c r="E41" s="3" t="s">
        <v>108</v>
      </c>
      <c r="F41" s="3" t="s">
        <v>669</v>
      </c>
      <c r="G41" s="3" t="s">
        <v>626</v>
      </c>
      <c r="H41" s="3" t="s">
        <v>627</v>
      </c>
      <c r="I41" s="3" t="s">
        <v>350</v>
      </c>
      <c r="J41" s="3" t="s">
        <v>371</v>
      </c>
      <c r="K41" s="3" t="s">
        <v>671</v>
      </c>
      <c r="L41" s="3" t="s">
        <v>371</v>
      </c>
      <c r="M41" s="3">
        <v>8</v>
      </c>
      <c r="N41" s="3" t="str">
        <f>M41&amp;"hr"</f>
        <v>8hr</v>
      </c>
      <c r="O41" s="3" t="str">
        <f>P41&amp;"uM"</f>
        <v>5uM</v>
      </c>
      <c r="P41" s="3">
        <v>5</v>
      </c>
      <c r="Q41" s="3">
        <v>5</v>
      </c>
      <c r="R41">
        <v>1</v>
      </c>
      <c r="S41" s="3" t="str">
        <f>I41&amp;"_ "&amp;J41&amp;"_ "&amp;N41&amp;"_ "&amp;O41</f>
        <v>RPTEC-TERT1_ CSP_ 8hr_ 5uM</v>
      </c>
      <c r="T41" s="3" t="s">
        <v>422</v>
      </c>
      <c r="U41" s="3" t="s">
        <v>423</v>
      </c>
      <c r="V41" s="3">
        <v>2552462</v>
      </c>
      <c r="W41" s="3">
        <v>120.906731088058</v>
      </c>
      <c r="X41" s="3">
        <v>8</v>
      </c>
    </row>
    <row r="42" spans="1:24" x14ac:dyDescent="0.25">
      <c r="A42" s="3" t="s">
        <v>129</v>
      </c>
      <c r="B42" s="3" t="str">
        <f>H42&amp;"_ "&amp;I42&amp;"_ "&amp;J42&amp;"_ "&amp;N42&amp;"_ "&amp;O42&amp;"_R"&amp;R42</f>
        <v>Human_ RPTEC-TERT1_ CSP_ 8hr_ 5uM_R2</v>
      </c>
      <c r="C42" s="3" t="s">
        <v>99</v>
      </c>
      <c r="D42" s="3" t="str">
        <f>C42&amp;"_"&amp;E42</f>
        <v>LEIDEN_TQ_RPTEC_CSP2_E06</v>
      </c>
      <c r="E42" s="3" t="s">
        <v>130</v>
      </c>
      <c r="F42" s="3" t="s">
        <v>669</v>
      </c>
      <c r="G42" s="3" t="s">
        <v>626</v>
      </c>
      <c r="H42" s="3" t="s">
        <v>627</v>
      </c>
      <c r="I42" s="3" t="s">
        <v>350</v>
      </c>
      <c r="J42" s="3" t="s">
        <v>371</v>
      </c>
      <c r="K42" s="3" t="s">
        <v>671</v>
      </c>
      <c r="L42" s="3" t="s">
        <v>371</v>
      </c>
      <c r="M42" s="3">
        <v>8</v>
      </c>
      <c r="N42" s="3" t="str">
        <f>M42&amp;"hr"</f>
        <v>8hr</v>
      </c>
      <c r="O42" s="3" t="str">
        <f>P42&amp;"uM"</f>
        <v>5uM</v>
      </c>
      <c r="P42" s="3">
        <v>5</v>
      </c>
      <c r="Q42" s="3">
        <v>5</v>
      </c>
      <c r="R42">
        <v>2</v>
      </c>
      <c r="S42" s="3" t="str">
        <f>I42&amp;"_ "&amp;J42&amp;"_ "&amp;N42&amp;"_ "&amp;O42</f>
        <v>RPTEC-TERT1_ CSP_ 8hr_ 5uM</v>
      </c>
      <c r="T42" s="3" t="s">
        <v>422</v>
      </c>
      <c r="U42" s="3" t="s">
        <v>439</v>
      </c>
      <c r="V42" s="3">
        <v>3293149</v>
      </c>
      <c r="W42" s="3">
        <v>155.99208943204999</v>
      </c>
      <c r="X42" s="3">
        <v>8</v>
      </c>
    </row>
    <row r="43" spans="1:24" x14ac:dyDescent="0.25">
      <c r="A43" s="3" t="s">
        <v>151</v>
      </c>
      <c r="B43" s="3" t="str">
        <f>H43&amp;"_ "&amp;I43&amp;"_ "&amp;J43&amp;"_ "&amp;N43&amp;"_ "&amp;O43&amp;"_R"&amp;R43</f>
        <v>Human_ RPTEC-TERT1_ CSP_ 8hr_ 5uM_R3</v>
      </c>
      <c r="C43" s="3" t="s">
        <v>99</v>
      </c>
      <c r="D43" s="3" t="str">
        <f>C43&amp;"_"&amp;E43</f>
        <v>LEIDEN_TQ_RPTEC_CSP2_F06</v>
      </c>
      <c r="E43" s="3" t="s">
        <v>152</v>
      </c>
      <c r="F43" s="3" t="s">
        <v>669</v>
      </c>
      <c r="G43" s="3" t="s">
        <v>626</v>
      </c>
      <c r="H43" s="3" t="s">
        <v>627</v>
      </c>
      <c r="I43" s="3" t="s">
        <v>350</v>
      </c>
      <c r="J43" s="3" t="s">
        <v>371</v>
      </c>
      <c r="K43" s="3" t="s">
        <v>671</v>
      </c>
      <c r="L43" s="3" t="s">
        <v>371</v>
      </c>
      <c r="M43" s="3">
        <v>8</v>
      </c>
      <c r="N43" s="3" t="str">
        <f>M43&amp;"hr"</f>
        <v>8hr</v>
      </c>
      <c r="O43" s="3" t="str">
        <f>P43&amp;"uM"</f>
        <v>5uM</v>
      </c>
      <c r="P43" s="3">
        <v>5</v>
      </c>
      <c r="Q43" s="3">
        <v>5</v>
      </c>
      <c r="R43">
        <v>3</v>
      </c>
      <c r="S43" s="3" t="str">
        <f>I43&amp;"_ "&amp;J43&amp;"_ "&amp;N43&amp;"_ "&amp;O43</f>
        <v>RPTEC-TERT1_ CSP_ 8hr_ 5uM</v>
      </c>
      <c r="T43" s="3" t="s">
        <v>422</v>
      </c>
      <c r="U43" s="3" t="s">
        <v>450</v>
      </c>
      <c r="V43" s="3">
        <v>4749756</v>
      </c>
      <c r="W43" s="3">
        <v>224.98962626119101</v>
      </c>
      <c r="X43" s="3">
        <v>8</v>
      </c>
    </row>
    <row r="44" spans="1:24" x14ac:dyDescent="0.25">
      <c r="A44" s="3" t="s">
        <v>105</v>
      </c>
      <c r="B44" s="3" t="str">
        <f>H44&amp;"_ "&amp;I44&amp;"_ "&amp;J44&amp;"_ "&amp;N44&amp;"_ "&amp;O44&amp;"_R"&amp;R44</f>
        <v>Human_ RPTEC-TERT1_ CSP_ 8hr_ 10uM_R1</v>
      </c>
      <c r="C44" s="3" t="s">
        <v>99</v>
      </c>
      <c r="D44" s="3" t="str">
        <f>C44&amp;"_"&amp;E44</f>
        <v>LEIDEN_TQ_RPTEC_CSP2_D05</v>
      </c>
      <c r="E44" s="3" t="s">
        <v>106</v>
      </c>
      <c r="F44" s="3" t="s">
        <v>669</v>
      </c>
      <c r="G44" s="3" t="s">
        <v>626</v>
      </c>
      <c r="H44" s="3" t="s">
        <v>627</v>
      </c>
      <c r="I44" s="3" t="s">
        <v>350</v>
      </c>
      <c r="J44" s="3" t="s">
        <v>371</v>
      </c>
      <c r="K44" s="3" t="s">
        <v>671</v>
      </c>
      <c r="L44" s="3" t="s">
        <v>371</v>
      </c>
      <c r="M44" s="3">
        <v>8</v>
      </c>
      <c r="N44" s="3" t="str">
        <f>M44&amp;"hr"</f>
        <v>8hr</v>
      </c>
      <c r="O44" s="3" t="str">
        <f>P44&amp;"uM"</f>
        <v>10uM</v>
      </c>
      <c r="P44" s="3">
        <v>10</v>
      </c>
      <c r="Q44" s="3">
        <v>6</v>
      </c>
      <c r="R44">
        <v>1</v>
      </c>
      <c r="S44" s="3" t="str">
        <f>I44&amp;"_ "&amp;J44&amp;"_ "&amp;N44&amp;"_ "&amp;O44</f>
        <v>RPTEC-TERT1_ CSP_ 8hr_ 10uM</v>
      </c>
      <c r="T44" s="3" t="s">
        <v>420</v>
      </c>
      <c r="U44" s="3" t="s">
        <v>421</v>
      </c>
      <c r="V44" s="3">
        <v>5006358</v>
      </c>
      <c r="W44" s="3">
        <v>237.144521813273</v>
      </c>
      <c r="X44" s="3">
        <v>8</v>
      </c>
    </row>
    <row r="45" spans="1:24" x14ac:dyDescent="0.25">
      <c r="A45" s="3" t="s">
        <v>127</v>
      </c>
      <c r="B45" s="3" t="str">
        <f>H45&amp;"_ "&amp;I45&amp;"_ "&amp;J45&amp;"_ "&amp;N45&amp;"_ "&amp;O45&amp;"_R"&amp;R45</f>
        <v>Human_ RPTEC-TERT1_ CSP_ 8hr_ 10uM_R2</v>
      </c>
      <c r="C45" s="3" t="s">
        <v>99</v>
      </c>
      <c r="D45" s="3" t="str">
        <f>C45&amp;"_"&amp;E45</f>
        <v>LEIDEN_TQ_RPTEC_CSP2_E05</v>
      </c>
      <c r="E45" s="3" t="s">
        <v>128</v>
      </c>
      <c r="F45" s="3" t="s">
        <v>669</v>
      </c>
      <c r="G45" s="3" t="s">
        <v>626</v>
      </c>
      <c r="H45" s="3" t="s">
        <v>627</v>
      </c>
      <c r="I45" s="3" t="s">
        <v>350</v>
      </c>
      <c r="J45" s="3" t="s">
        <v>371</v>
      </c>
      <c r="K45" s="3" t="s">
        <v>671</v>
      </c>
      <c r="L45" s="3" t="s">
        <v>371</v>
      </c>
      <c r="M45" s="3">
        <v>8</v>
      </c>
      <c r="N45" s="3" t="str">
        <f>M45&amp;"hr"</f>
        <v>8hr</v>
      </c>
      <c r="O45" s="3" t="str">
        <f>P45&amp;"uM"</f>
        <v>10uM</v>
      </c>
      <c r="P45" s="3">
        <v>10</v>
      </c>
      <c r="Q45" s="3">
        <v>6</v>
      </c>
      <c r="R45">
        <v>2</v>
      </c>
      <c r="S45" s="3" t="str">
        <f>I45&amp;"_ "&amp;J45&amp;"_ "&amp;N45&amp;"_ "&amp;O45</f>
        <v>RPTEC-TERT1_ CSP_ 8hr_ 10uM</v>
      </c>
      <c r="T45" s="3" t="s">
        <v>420</v>
      </c>
      <c r="U45" s="3" t="s">
        <v>438</v>
      </c>
      <c r="V45" s="3">
        <v>1208531</v>
      </c>
      <c r="W45" s="3">
        <v>57.246506560560803</v>
      </c>
      <c r="X45" s="3">
        <v>8</v>
      </c>
    </row>
    <row r="46" spans="1:24" x14ac:dyDescent="0.25">
      <c r="A46" s="3" t="s">
        <v>149</v>
      </c>
      <c r="B46" s="3" t="str">
        <f>H46&amp;"_ "&amp;I46&amp;"_ "&amp;J46&amp;"_ "&amp;N46&amp;"_ "&amp;O46&amp;"_R"&amp;R46</f>
        <v>Human_ RPTEC-TERT1_ CSP_ 8hr_ 10uM_R3</v>
      </c>
      <c r="C46" s="3" t="s">
        <v>99</v>
      </c>
      <c r="D46" s="3" t="str">
        <f>C46&amp;"_"&amp;E46</f>
        <v>LEIDEN_TQ_RPTEC_CSP2_F05</v>
      </c>
      <c r="E46" s="3" t="s">
        <v>150</v>
      </c>
      <c r="F46" s="3" t="s">
        <v>669</v>
      </c>
      <c r="G46" s="3" t="s">
        <v>626</v>
      </c>
      <c r="H46" s="3" t="s">
        <v>627</v>
      </c>
      <c r="I46" s="3" t="s">
        <v>350</v>
      </c>
      <c r="J46" s="3" t="s">
        <v>371</v>
      </c>
      <c r="K46" s="3" t="s">
        <v>671</v>
      </c>
      <c r="L46" s="3" t="s">
        <v>371</v>
      </c>
      <c r="M46" s="3">
        <v>8</v>
      </c>
      <c r="N46" s="3" t="str">
        <f>M46&amp;"hr"</f>
        <v>8hr</v>
      </c>
      <c r="O46" s="3" t="str">
        <f>P46&amp;"uM"</f>
        <v>10uM</v>
      </c>
      <c r="P46" s="3">
        <v>10</v>
      </c>
      <c r="Q46" s="3">
        <v>6</v>
      </c>
      <c r="R46">
        <v>3</v>
      </c>
      <c r="S46" s="3" t="str">
        <f>I46&amp;"_ "&amp;J46&amp;"_ "&amp;N46&amp;"_ "&amp;O46</f>
        <v>RPTEC-TERT1_ CSP_ 8hr_ 10uM</v>
      </c>
      <c r="T46" s="3" t="s">
        <v>420</v>
      </c>
      <c r="U46" s="3" t="s">
        <v>449</v>
      </c>
      <c r="V46" s="3">
        <v>3044590</v>
      </c>
      <c r="W46" s="3">
        <v>144.218180095685</v>
      </c>
      <c r="X46" s="3">
        <v>8</v>
      </c>
    </row>
    <row r="47" spans="1:24" x14ac:dyDescent="0.25">
      <c r="A47" s="3" t="s">
        <v>103</v>
      </c>
      <c r="B47" s="3" t="str">
        <f>H47&amp;"_ "&amp;I47&amp;"_ "&amp;J47&amp;"_ "&amp;N47&amp;"_ "&amp;O47&amp;"_R"&amp;R47</f>
        <v>Human_ RPTEC-TERT1_ CSP_ 8hr_ 20uM_R1</v>
      </c>
      <c r="C47" s="3" t="s">
        <v>99</v>
      </c>
      <c r="D47" s="3" t="str">
        <f>C47&amp;"_"&amp;E47</f>
        <v>LEIDEN_TQ_RPTEC_CSP2_D04</v>
      </c>
      <c r="E47" s="3" t="s">
        <v>104</v>
      </c>
      <c r="F47" s="3" t="s">
        <v>669</v>
      </c>
      <c r="G47" s="3" t="s">
        <v>626</v>
      </c>
      <c r="H47" s="3" t="s">
        <v>627</v>
      </c>
      <c r="I47" s="3" t="s">
        <v>350</v>
      </c>
      <c r="J47" s="3" t="s">
        <v>371</v>
      </c>
      <c r="K47" s="3" t="s">
        <v>671</v>
      </c>
      <c r="L47" s="3" t="s">
        <v>371</v>
      </c>
      <c r="M47" s="3">
        <v>8</v>
      </c>
      <c r="N47" s="3" t="str">
        <f>M47&amp;"hr"</f>
        <v>8hr</v>
      </c>
      <c r="O47" s="3" t="str">
        <f>P47&amp;"uM"</f>
        <v>20uM</v>
      </c>
      <c r="P47" s="3">
        <v>20</v>
      </c>
      <c r="Q47" s="3">
        <v>7</v>
      </c>
      <c r="R47">
        <v>1</v>
      </c>
      <c r="S47" s="3" t="str">
        <f>I47&amp;"_ "&amp;J47&amp;"_ "&amp;N47&amp;"_ "&amp;O47</f>
        <v>RPTEC-TERT1_ CSP_ 8hr_ 20uM</v>
      </c>
      <c r="T47" s="3" t="s">
        <v>418</v>
      </c>
      <c r="U47" s="3" t="s">
        <v>419</v>
      </c>
      <c r="V47" s="3">
        <v>5848549</v>
      </c>
      <c r="W47" s="3">
        <v>277.03798967363002</v>
      </c>
      <c r="X47" s="3">
        <v>8</v>
      </c>
    </row>
    <row r="48" spans="1:24" x14ac:dyDescent="0.25">
      <c r="A48" s="3" t="s">
        <v>125</v>
      </c>
      <c r="B48" s="3" t="str">
        <f>H48&amp;"_ "&amp;I48&amp;"_ "&amp;J48&amp;"_ "&amp;N48&amp;"_ "&amp;O48&amp;"_R"&amp;R48</f>
        <v>Human_ RPTEC-TERT1_ CSP_ 8hr_ 20uM_R2</v>
      </c>
      <c r="C48" s="3" t="s">
        <v>99</v>
      </c>
      <c r="D48" s="3" t="str">
        <f>C48&amp;"_"&amp;E48</f>
        <v>LEIDEN_TQ_RPTEC_CSP2_E04</v>
      </c>
      <c r="E48" s="3" t="s">
        <v>126</v>
      </c>
      <c r="F48" s="3" t="s">
        <v>669</v>
      </c>
      <c r="G48" s="3" t="s">
        <v>626</v>
      </c>
      <c r="H48" s="3" t="s">
        <v>627</v>
      </c>
      <c r="I48" s="3" t="s">
        <v>350</v>
      </c>
      <c r="J48" s="3" t="s">
        <v>371</v>
      </c>
      <c r="K48" s="3" t="s">
        <v>671</v>
      </c>
      <c r="L48" s="3" t="s">
        <v>371</v>
      </c>
      <c r="M48" s="3">
        <v>8</v>
      </c>
      <c r="N48" s="3" t="str">
        <f>M48&amp;"hr"</f>
        <v>8hr</v>
      </c>
      <c r="O48" s="3" t="str">
        <f>P48&amp;"uM"</f>
        <v>20uM</v>
      </c>
      <c r="P48" s="3">
        <v>20</v>
      </c>
      <c r="Q48" s="3">
        <v>7</v>
      </c>
      <c r="R48">
        <v>2</v>
      </c>
      <c r="S48" s="3" t="str">
        <f>I48&amp;"_ "&amp;J48&amp;"_ "&amp;N48&amp;"_ "&amp;O48</f>
        <v>RPTEC-TERT1_ CSP_ 8hr_ 20uM</v>
      </c>
      <c r="T48" s="3" t="s">
        <v>418</v>
      </c>
      <c r="U48" s="3" t="s">
        <v>437</v>
      </c>
      <c r="V48" s="3">
        <v>5289204</v>
      </c>
      <c r="W48" s="3">
        <v>250.54256075032001</v>
      </c>
      <c r="X48" s="3">
        <v>8</v>
      </c>
    </row>
    <row r="49" spans="1:24" x14ac:dyDescent="0.25">
      <c r="A49" s="3" t="s">
        <v>147</v>
      </c>
      <c r="B49" s="3" t="str">
        <f>H49&amp;"_ "&amp;I49&amp;"_ "&amp;J49&amp;"_ "&amp;N49&amp;"_ "&amp;O49&amp;"_R"&amp;R49</f>
        <v>Human_ RPTEC-TERT1_ CSP_ 8hr_ 20uM_R3</v>
      </c>
      <c r="C49" s="3" t="s">
        <v>99</v>
      </c>
      <c r="D49" s="3" t="str">
        <f>C49&amp;"_"&amp;E49</f>
        <v>LEIDEN_TQ_RPTEC_CSP2_F04</v>
      </c>
      <c r="E49" s="3" t="s">
        <v>148</v>
      </c>
      <c r="F49" s="3" t="s">
        <v>669</v>
      </c>
      <c r="G49" s="3" t="s">
        <v>626</v>
      </c>
      <c r="H49" s="3" t="s">
        <v>627</v>
      </c>
      <c r="I49" s="3" t="s">
        <v>350</v>
      </c>
      <c r="J49" s="3" t="s">
        <v>371</v>
      </c>
      <c r="K49" s="3" t="s">
        <v>671</v>
      </c>
      <c r="L49" s="3" t="s">
        <v>371</v>
      </c>
      <c r="M49" s="3">
        <v>8</v>
      </c>
      <c r="N49" s="3" t="str">
        <f>M49&amp;"hr"</f>
        <v>8hr</v>
      </c>
      <c r="O49" s="3" t="str">
        <f>P49&amp;"uM"</f>
        <v>20uM</v>
      </c>
      <c r="P49" s="3">
        <v>20</v>
      </c>
      <c r="Q49" s="3">
        <v>7</v>
      </c>
      <c r="R49">
        <v>3</v>
      </c>
      <c r="S49" s="3" t="str">
        <f>I49&amp;"_ "&amp;J49&amp;"_ "&amp;N49&amp;"_ "&amp;O49</f>
        <v>RPTEC-TERT1_ CSP_ 8hr_ 20uM</v>
      </c>
      <c r="T49" s="3" t="s">
        <v>418</v>
      </c>
      <c r="U49" s="3" t="s">
        <v>448</v>
      </c>
      <c r="V49" s="3">
        <v>5290334</v>
      </c>
      <c r="W49" s="3">
        <v>250.59608734782799</v>
      </c>
      <c r="X49" s="3">
        <v>8</v>
      </c>
    </row>
    <row r="50" spans="1:24" x14ac:dyDescent="0.25">
      <c r="A50" s="3" t="s">
        <v>101</v>
      </c>
      <c r="B50" s="3" t="str">
        <f>H50&amp;"_ "&amp;I50&amp;"_ "&amp;J50&amp;"_ "&amp;N50&amp;"_ "&amp;O50&amp;"_R"&amp;R50</f>
        <v>Human_ RPTEC-TERT1_ CSP_ 8hr_ 30uM_R1</v>
      </c>
      <c r="C50" s="3" t="s">
        <v>99</v>
      </c>
      <c r="D50" s="3" t="str">
        <f>C50&amp;"_"&amp;E50</f>
        <v>LEIDEN_TQ_RPTEC_CSP2_D03</v>
      </c>
      <c r="E50" s="3" t="s">
        <v>102</v>
      </c>
      <c r="F50" s="3" t="s">
        <v>669</v>
      </c>
      <c r="G50" s="3" t="s">
        <v>626</v>
      </c>
      <c r="H50" s="3" t="s">
        <v>627</v>
      </c>
      <c r="I50" s="3" t="s">
        <v>350</v>
      </c>
      <c r="J50" s="3" t="s">
        <v>371</v>
      </c>
      <c r="K50" s="3" t="s">
        <v>671</v>
      </c>
      <c r="L50" s="3" t="s">
        <v>371</v>
      </c>
      <c r="M50" s="3">
        <v>8</v>
      </c>
      <c r="N50" s="3" t="str">
        <f>M50&amp;"hr"</f>
        <v>8hr</v>
      </c>
      <c r="O50" s="3" t="str">
        <f>P50&amp;"uM"</f>
        <v>30uM</v>
      </c>
      <c r="P50" s="3">
        <v>30</v>
      </c>
      <c r="Q50" s="3">
        <v>8</v>
      </c>
      <c r="R50">
        <v>1</v>
      </c>
      <c r="S50" s="3" t="str">
        <f>I50&amp;"_ "&amp;J50&amp;"_ "&amp;N50&amp;"_ "&amp;O50</f>
        <v>RPTEC-TERT1_ CSP_ 8hr_ 30uM</v>
      </c>
      <c r="T50" s="3" t="s">
        <v>416</v>
      </c>
      <c r="U50" s="3" t="s">
        <v>417</v>
      </c>
      <c r="V50" s="3">
        <v>5140137</v>
      </c>
      <c r="W50" s="3">
        <v>243.481455165554</v>
      </c>
      <c r="X50" s="3">
        <v>8</v>
      </c>
    </row>
    <row r="51" spans="1:24" x14ac:dyDescent="0.25">
      <c r="A51" s="3" t="s">
        <v>123</v>
      </c>
      <c r="B51" s="3" t="str">
        <f>H51&amp;"_ "&amp;I51&amp;"_ "&amp;J51&amp;"_ "&amp;N51&amp;"_ "&amp;O51&amp;"_R"&amp;R51</f>
        <v>Human_ RPTEC-TERT1_ CSP_ 8hr_ 30uM_R2</v>
      </c>
      <c r="C51" s="3" t="s">
        <v>99</v>
      </c>
      <c r="D51" s="3" t="str">
        <f>C51&amp;"_"&amp;E51</f>
        <v>LEIDEN_TQ_RPTEC_CSP2_E03</v>
      </c>
      <c r="E51" s="3" t="s">
        <v>124</v>
      </c>
      <c r="F51" s="3" t="s">
        <v>669</v>
      </c>
      <c r="G51" s="3" t="s">
        <v>626</v>
      </c>
      <c r="H51" s="3" t="s">
        <v>627</v>
      </c>
      <c r="I51" s="3" t="s">
        <v>350</v>
      </c>
      <c r="J51" s="3" t="s">
        <v>371</v>
      </c>
      <c r="K51" s="3" t="s">
        <v>671</v>
      </c>
      <c r="L51" s="3" t="s">
        <v>371</v>
      </c>
      <c r="M51" s="3">
        <v>8</v>
      </c>
      <c r="N51" s="3" t="str">
        <f>M51&amp;"hr"</f>
        <v>8hr</v>
      </c>
      <c r="O51" s="3" t="str">
        <f>P51&amp;"uM"</f>
        <v>30uM</v>
      </c>
      <c r="P51" s="3">
        <v>30</v>
      </c>
      <c r="Q51" s="3">
        <v>8</v>
      </c>
      <c r="R51">
        <v>2</v>
      </c>
      <c r="S51" s="3" t="str">
        <f>I51&amp;"_ "&amp;J51&amp;"_ "&amp;N51&amp;"_ "&amp;O51</f>
        <v>RPTEC-TERT1_ CSP_ 8hr_ 30uM</v>
      </c>
      <c r="T51" s="3" t="s">
        <v>416</v>
      </c>
      <c r="U51" s="3" t="s">
        <v>436</v>
      </c>
      <c r="V51" s="3">
        <v>5260522</v>
      </c>
      <c r="W51" s="3">
        <v>249.183932547013</v>
      </c>
      <c r="X51" s="3">
        <v>8</v>
      </c>
    </row>
    <row r="52" spans="1:24" x14ac:dyDescent="0.25">
      <c r="A52" s="3" t="s">
        <v>145</v>
      </c>
      <c r="B52" s="3" t="str">
        <f>H52&amp;"_ "&amp;I52&amp;"_ "&amp;J52&amp;"_ "&amp;N52&amp;"_ "&amp;O52&amp;"_R"&amp;R52</f>
        <v>Human_ RPTEC-TERT1_ CSP_ 8hr_ 30uM_R3</v>
      </c>
      <c r="C52" s="3" t="s">
        <v>99</v>
      </c>
      <c r="D52" s="3" t="str">
        <f>C52&amp;"_"&amp;E52</f>
        <v>LEIDEN_TQ_RPTEC_CSP2_F03</v>
      </c>
      <c r="E52" s="3" t="s">
        <v>146</v>
      </c>
      <c r="F52" s="3" t="s">
        <v>669</v>
      </c>
      <c r="G52" s="3" t="s">
        <v>626</v>
      </c>
      <c r="H52" s="3" t="s">
        <v>627</v>
      </c>
      <c r="I52" s="3" t="s">
        <v>350</v>
      </c>
      <c r="J52" s="3" t="s">
        <v>371</v>
      </c>
      <c r="K52" s="3" t="s">
        <v>671</v>
      </c>
      <c r="L52" s="3" t="s">
        <v>371</v>
      </c>
      <c r="M52" s="3">
        <v>8</v>
      </c>
      <c r="N52" s="3" t="str">
        <f>M52&amp;"hr"</f>
        <v>8hr</v>
      </c>
      <c r="O52" s="3" t="str">
        <f>P52&amp;"uM"</f>
        <v>30uM</v>
      </c>
      <c r="P52" s="3">
        <v>30</v>
      </c>
      <c r="Q52" s="3">
        <v>8</v>
      </c>
      <c r="R52">
        <v>3</v>
      </c>
      <c r="S52" s="3" t="str">
        <f>I52&amp;"_ "&amp;J52&amp;"_ "&amp;N52&amp;"_ "&amp;O52</f>
        <v>RPTEC-TERT1_ CSP_ 8hr_ 30uM</v>
      </c>
      <c r="T52" s="3" t="s">
        <v>416</v>
      </c>
      <c r="U52" s="3" t="s">
        <v>447</v>
      </c>
      <c r="V52" s="3">
        <v>4868224</v>
      </c>
      <c r="W52" s="3">
        <v>230.60129790156799</v>
      </c>
      <c r="X52" s="3">
        <v>8</v>
      </c>
    </row>
    <row r="53" spans="1:24" x14ac:dyDescent="0.25">
      <c r="A53" s="3" t="s">
        <v>98</v>
      </c>
      <c r="B53" s="3" t="str">
        <f>H53&amp;"_ "&amp;I53&amp;"_ "&amp;J53&amp;"_ "&amp;N53&amp;"_ "&amp;O53&amp;"_R"&amp;R53</f>
        <v>Human_ RPTEC-TERT1_ CSP_ 8hr_ 50uM_R1</v>
      </c>
      <c r="C53" s="3" t="s">
        <v>99</v>
      </c>
      <c r="D53" s="3" t="str">
        <f>C53&amp;"_"&amp;E53</f>
        <v>LEIDEN_TQ_RPTEC_CSP2_D02</v>
      </c>
      <c r="E53" s="3" t="s">
        <v>100</v>
      </c>
      <c r="F53" s="3" t="s">
        <v>669</v>
      </c>
      <c r="G53" s="3" t="s">
        <v>626</v>
      </c>
      <c r="H53" s="3" t="s">
        <v>627</v>
      </c>
      <c r="I53" s="3" t="s">
        <v>350</v>
      </c>
      <c r="J53" s="3" t="s">
        <v>371</v>
      </c>
      <c r="K53" s="3" t="s">
        <v>671</v>
      </c>
      <c r="L53" s="3" t="s">
        <v>371</v>
      </c>
      <c r="M53" s="3">
        <v>8</v>
      </c>
      <c r="N53" s="3" t="str">
        <f>M53&amp;"hr"</f>
        <v>8hr</v>
      </c>
      <c r="O53" s="3" t="str">
        <f>P53&amp;"uM"</f>
        <v>50uM</v>
      </c>
      <c r="P53" s="3">
        <v>50</v>
      </c>
      <c r="Q53" s="3">
        <v>9</v>
      </c>
      <c r="R53">
        <v>1</v>
      </c>
      <c r="S53" s="3" t="str">
        <f>I53&amp;"_ "&amp;J53&amp;"_ "&amp;N53&amp;"_ "&amp;O53</f>
        <v>RPTEC-TERT1_ CSP_ 8hr_ 50uM</v>
      </c>
      <c r="T53" s="3" t="s">
        <v>414</v>
      </c>
      <c r="U53" s="3" t="s">
        <v>415</v>
      </c>
      <c r="V53" s="3">
        <v>1312107</v>
      </c>
      <c r="W53" s="3">
        <v>62.152763961915603</v>
      </c>
      <c r="X53" s="3">
        <v>8</v>
      </c>
    </row>
    <row r="54" spans="1:24" x14ac:dyDescent="0.25">
      <c r="A54" s="3" t="s">
        <v>121</v>
      </c>
      <c r="B54" s="3" t="str">
        <f>H54&amp;"_ "&amp;I54&amp;"_ "&amp;J54&amp;"_ "&amp;N54&amp;"_ "&amp;O54&amp;"_R"&amp;R54</f>
        <v>Human_ RPTEC-TERT1_ CSP_ 8hr_ 50uM_R2</v>
      </c>
      <c r="C54" s="3" t="s">
        <v>99</v>
      </c>
      <c r="D54" s="3" t="str">
        <f>C54&amp;"_"&amp;E54</f>
        <v>LEIDEN_TQ_RPTEC_CSP2_E02</v>
      </c>
      <c r="E54" s="3" t="s">
        <v>122</v>
      </c>
      <c r="F54" s="3" t="s">
        <v>669</v>
      </c>
      <c r="G54" s="3" t="s">
        <v>626</v>
      </c>
      <c r="H54" s="3" t="s">
        <v>627</v>
      </c>
      <c r="I54" s="3" t="s">
        <v>350</v>
      </c>
      <c r="J54" s="3" t="s">
        <v>371</v>
      </c>
      <c r="K54" s="3" t="s">
        <v>671</v>
      </c>
      <c r="L54" s="3" t="s">
        <v>371</v>
      </c>
      <c r="M54" s="3">
        <v>8</v>
      </c>
      <c r="N54" s="3" t="str">
        <f>M54&amp;"hr"</f>
        <v>8hr</v>
      </c>
      <c r="O54" s="3" t="str">
        <f>P54&amp;"uM"</f>
        <v>50uM</v>
      </c>
      <c r="P54" s="3">
        <v>50</v>
      </c>
      <c r="Q54" s="3">
        <v>9</v>
      </c>
      <c r="R54">
        <v>2</v>
      </c>
      <c r="S54" s="3" t="str">
        <f>I54&amp;"_ "&amp;J54&amp;"_ "&amp;N54&amp;"_ "&amp;O54</f>
        <v>RPTEC-TERT1_ CSP_ 8hr_ 50uM</v>
      </c>
      <c r="T54" s="3" t="s">
        <v>414</v>
      </c>
      <c r="U54" s="3" t="s">
        <v>435</v>
      </c>
      <c r="V54" s="3">
        <v>5337453</v>
      </c>
      <c r="W54" s="3">
        <v>252.828051726588</v>
      </c>
      <c r="X54" s="3">
        <v>8</v>
      </c>
    </row>
    <row r="55" spans="1:24" x14ac:dyDescent="0.25">
      <c r="A55" s="3" t="s">
        <v>143</v>
      </c>
      <c r="B55" s="3" t="str">
        <f>H55&amp;"_ "&amp;I55&amp;"_ "&amp;J55&amp;"_ "&amp;N55&amp;"_ "&amp;O55&amp;"_R"&amp;R55</f>
        <v>Human_ RPTEC-TERT1_ CSP_ 8hr_ 50uM_R3</v>
      </c>
      <c r="C55" s="3" t="s">
        <v>99</v>
      </c>
      <c r="D55" s="3" t="str">
        <f>C55&amp;"_"&amp;E55</f>
        <v>LEIDEN_TQ_RPTEC_CSP2_F02</v>
      </c>
      <c r="E55" s="3" t="s">
        <v>144</v>
      </c>
      <c r="F55" s="3" t="s">
        <v>669</v>
      </c>
      <c r="G55" s="3" t="s">
        <v>626</v>
      </c>
      <c r="H55" s="3" t="s">
        <v>627</v>
      </c>
      <c r="I55" s="3" t="s">
        <v>350</v>
      </c>
      <c r="J55" s="3" t="s">
        <v>371</v>
      </c>
      <c r="K55" s="3" t="s">
        <v>671</v>
      </c>
      <c r="L55" s="3" t="s">
        <v>371</v>
      </c>
      <c r="M55" s="3">
        <v>8</v>
      </c>
      <c r="N55" s="3" t="str">
        <f>M55&amp;"hr"</f>
        <v>8hr</v>
      </c>
      <c r="O55" s="3" t="str">
        <f>P55&amp;"uM"</f>
        <v>50uM</v>
      </c>
      <c r="P55" s="3">
        <v>50</v>
      </c>
      <c r="Q55" s="3">
        <v>9</v>
      </c>
      <c r="R55">
        <v>3</v>
      </c>
      <c r="S55" s="3" t="str">
        <f>I55&amp;"_ "&amp;J55&amp;"_ "&amp;N55&amp;"_ "&amp;O55</f>
        <v>RPTEC-TERT1_ CSP_ 8hr_ 50uM</v>
      </c>
      <c r="T55" s="3" t="s">
        <v>414</v>
      </c>
      <c r="U55" s="3" t="s">
        <v>446</v>
      </c>
      <c r="V55" s="3">
        <v>3699540</v>
      </c>
      <c r="W55" s="3">
        <v>175.24229074889899</v>
      </c>
      <c r="X55" s="3">
        <v>8</v>
      </c>
    </row>
    <row r="56" spans="1:24" x14ac:dyDescent="0.25">
      <c r="A56" s="3" t="s">
        <v>173</v>
      </c>
      <c r="B56" s="3" t="str">
        <f>H56&amp;"_ "&amp;I56&amp;"_ "&amp;J56&amp;"_ "&amp;N56&amp;"_ "&amp;O56&amp;"_R"&amp;R56</f>
        <v>Human_ RPTEC-TERT1_ CSP_ 16hr_ 0.1uM_R1</v>
      </c>
      <c r="C56" s="3" t="s">
        <v>99</v>
      </c>
      <c r="D56" s="3" t="str">
        <f>C56&amp;"_"&amp;E56</f>
        <v>LEIDEN_TQ_RPTEC_CSP2_A10</v>
      </c>
      <c r="E56" s="3" t="s">
        <v>49</v>
      </c>
      <c r="F56" s="3" t="s">
        <v>669</v>
      </c>
      <c r="G56" s="3" t="s">
        <v>626</v>
      </c>
      <c r="H56" s="3" t="s">
        <v>627</v>
      </c>
      <c r="I56" s="3" t="s">
        <v>350</v>
      </c>
      <c r="J56" s="3" t="s">
        <v>371</v>
      </c>
      <c r="K56" s="3" t="s">
        <v>671</v>
      </c>
      <c r="L56" s="3" t="s">
        <v>371</v>
      </c>
      <c r="M56" s="3">
        <v>16</v>
      </c>
      <c r="N56" s="3" t="str">
        <f>M56&amp;"hr"</f>
        <v>16hr</v>
      </c>
      <c r="O56" s="3" t="str">
        <f>P56&amp;"uM"</f>
        <v>0.1uM</v>
      </c>
      <c r="P56" s="3">
        <v>0.1</v>
      </c>
      <c r="Q56" s="3">
        <v>1</v>
      </c>
      <c r="R56">
        <v>1</v>
      </c>
      <c r="S56" s="3" t="str">
        <f>I56&amp;"_ "&amp;J56&amp;"_ "&amp;N56&amp;"_ "&amp;O56</f>
        <v>RPTEC-TERT1_ CSP_ 16hr_ 0.1uM</v>
      </c>
      <c r="T56" s="3" t="s">
        <v>472</v>
      </c>
      <c r="U56" s="3" t="s">
        <v>473</v>
      </c>
      <c r="V56" s="3">
        <v>557344</v>
      </c>
      <c r="W56" s="3">
        <v>26.400644213916902</v>
      </c>
      <c r="X56" s="3">
        <v>16</v>
      </c>
    </row>
    <row r="57" spans="1:24" x14ac:dyDescent="0.25">
      <c r="A57" s="3" t="s">
        <v>184</v>
      </c>
      <c r="B57" s="3" t="str">
        <f>H57&amp;"_ "&amp;I57&amp;"_ "&amp;J57&amp;"_ "&amp;N57&amp;"_ "&amp;O57&amp;"_R"&amp;R57</f>
        <v>Human_ RPTEC-TERT1_ CSP_ 16hr_ 0.1uM_R2</v>
      </c>
      <c r="C57" s="3" t="s">
        <v>99</v>
      </c>
      <c r="D57" s="3" t="str">
        <f>C57&amp;"_"&amp;E57</f>
        <v>LEIDEN_TQ_RPTEC_CSP2_B10</v>
      </c>
      <c r="E57" s="3" t="s">
        <v>71</v>
      </c>
      <c r="F57" s="3" t="s">
        <v>669</v>
      </c>
      <c r="G57" s="3" t="s">
        <v>626</v>
      </c>
      <c r="H57" s="3" t="s">
        <v>627</v>
      </c>
      <c r="I57" s="3" t="s">
        <v>350</v>
      </c>
      <c r="J57" s="3" t="s">
        <v>371</v>
      </c>
      <c r="K57" s="3" t="s">
        <v>671</v>
      </c>
      <c r="L57" s="3" t="s">
        <v>371</v>
      </c>
      <c r="M57" s="3">
        <v>16</v>
      </c>
      <c r="N57" s="3" t="str">
        <f>M57&amp;"hr"</f>
        <v>16hr</v>
      </c>
      <c r="O57" s="3" t="str">
        <f>P57&amp;"uM"</f>
        <v>0.1uM</v>
      </c>
      <c r="P57" s="3">
        <v>0.1</v>
      </c>
      <c r="Q57" s="3">
        <v>1</v>
      </c>
      <c r="R57">
        <v>2</v>
      </c>
      <c r="S57" s="3" t="str">
        <f>I57&amp;"_ "&amp;J57&amp;"_ "&amp;N57&amp;"_ "&amp;O57</f>
        <v>RPTEC-TERT1_ CSP_ 16hr_ 0.1uM</v>
      </c>
      <c r="T57" s="3" t="s">
        <v>472</v>
      </c>
      <c r="U57" s="3" t="s">
        <v>485</v>
      </c>
      <c r="V57" s="3">
        <v>4414972</v>
      </c>
      <c r="W57" s="3">
        <v>209.13135332291199</v>
      </c>
      <c r="X57" s="3">
        <v>16</v>
      </c>
    </row>
    <row r="58" spans="1:24" x14ac:dyDescent="0.25">
      <c r="A58" s="3" t="s">
        <v>195</v>
      </c>
      <c r="B58" s="3" t="str">
        <f>H58&amp;"_ "&amp;I58&amp;"_ "&amp;J58&amp;"_ "&amp;N58&amp;"_ "&amp;O58&amp;"_R"&amp;R58</f>
        <v>Human_ RPTEC-TERT1_ CSP_ 16hr_ 0.1uM_R3</v>
      </c>
      <c r="C58" s="3" t="s">
        <v>99</v>
      </c>
      <c r="D58" s="3" t="str">
        <f>C58&amp;"_"&amp;E58</f>
        <v>LEIDEN_TQ_RPTEC_CSP2_C10</v>
      </c>
      <c r="E58" s="3" t="s">
        <v>93</v>
      </c>
      <c r="F58" s="3" t="s">
        <v>669</v>
      </c>
      <c r="G58" s="3" t="s">
        <v>626</v>
      </c>
      <c r="H58" s="3" t="s">
        <v>627</v>
      </c>
      <c r="I58" s="3" t="s">
        <v>350</v>
      </c>
      <c r="J58" s="3" t="s">
        <v>371</v>
      </c>
      <c r="K58" s="3" t="s">
        <v>671</v>
      </c>
      <c r="L58" s="3" t="s">
        <v>371</v>
      </c>
      <c r="M58" s="3">
        <v>16</v>
      </c>
      <c r="N58" s="3" t="str">
        <f>M58&amp;"hr"</f>
        <v>16hr</v>
      </c>
      <c r="O58" s="3" t="str">
        <f>P58&amp;"uM"</f>
        <v>0.1uM</v>
      </c>
      <c r="P58" s="3">
        <v>0.1</v>
      </c>
      <c r="Q58" s="3">
        <v>1</v>
      </c>
      <c r="R58">
        <v>3</v>
      </c>
      <c r="S58" s="3" t="str">
        <f>I58&amp;"_ "&amp;J58&amp;"_ "&amp;N58&amp;"_ "&amp;O58</f>
        <v>RPTEC-TERT1_ CSP_ 16hr_ 0.1uM</v>
      </c>
      <c r="T58" s="3" t="s">
        <v>472</v>
      </c>
      <c r="U58" s="3" t="s">
        <v>473</v>
      </c>
      <c r="V58" s="3">
        <v>2904477</v>
      </c>
      <c r="W58" s="3">
        <v>137.58121358533501</v>
      </c>
      <c r="X58" s="3">
        <v>16</v>
      </c>
    </row>
    <row r="59" spans="1:24" x14ac:dyDescent="0.25">
      <c r="A59" s="3" t="s">
        <v>172</v>
      </c>
      <c r="B59" s="3" t="str">
        <f>H59&amp;"_ "&amp;I59&amp;"_ "&amp;J59&amp;"_ "&amp;N59&amp;"_ "&amp;O59&amp;"_R"&amp;R59</f>
        <v>Human_ RPTEC-TERT1_ CSP_ 16hr_ 0.5uM_R1</v>
      </c>
      <c r="C59" s="3" t="s">
        <v>99</v>
      </c>
      <c r="D59" s="3" t="str">
        <f>C59&amp;"_"&amp;E59</f>
        <v>LEIDEN_TQ_RPTEC_CSP2_A09</v>
      </c>
      <c r="E59" s="3" t="s">
        <v>47</v>
      </c>
      <c r="F59" s="3" t="s">
        <v>669</v>
      </c>
      <c r="G59" s="3" t="s">
        <v>626</v>
      </c>
      <c r="H59" s="3" t="s">
        <v>627</v>
      </c>
      <c r="I59" s="3" t="s">
        <v>350</v>
      </c>
      <c r="J59" s="3" t="s">
        <v>371</v>
      </c>
      <c r="K59" s="3" t="s">
        <v>671</v>
      </c>
      <c r="L59" s="3" t="s">
        <v>371</v>
      </c>
      <c r="M59" s="3">
        <v>16</v>
      </c>
      <c r="N59" s="3" t="str">
        <f>M59&amp;"hr"</f>
        <v>16hr</v>
      </c>
      <c r="O59" s="3" t="str">
        <f>P59&amp;"uM"</f>
        <v>0.5uM</v>
      </c>
      <c r="P59" s="3">
        <v>0.5</v>
      </c>
      <c r="Q59" s="3">
        <v>2</v>
      </c>
      <c r="R59">
        <v>1</v>
      </c>
      <c r="S59" s="3" t="str">
        <f>I59&amp;"_ "&amp;J59&amp;"_ "&amp;N59&amp;"_ "&amp;O59</f>
        <v>RPTEC-TERT1_ CSP_ 16hr_ 0.5uM</v>
      </c>
      <c r="T59" s="3" t="s">
        <v>470</v>
      </c>
      <c r="U59" s="3" t="s">
        <v>471</v>
      </c>
      <c r="V59" s="3">
        <v>4130066</v>
      </c>
      <c r="W59" s="3">
        <v>195.635734924921</v>
      </c>
      <c r="X59" s="3">
        <v>16</v>
      </c>
    </row>
    <row r="60" spans="1:24" x14ac:dyDescent="0.25">
      <c r="A60" s="3" t="s">
        <v>183</v>
      </c>
      <c r="B60" s="3" t="str">
        <f>H60&amp;"_ "&amp;I60&amp;"_ "&amp;J60&amp;"_ "&amp;N60&amp;"_ "&amp;O60&amp;"_R"&amp;R60</f>
        <v>Human_ RPTEC-TERT1_ CSP_ 16hr_ 0.5uM_R2</v>
      </c>
      <c r="C60" s="3" t="s">
        <v>99</v>
      </c>
      <c r="D60" s="3" t="str">
        <f>C60&amp;"_"&amp;E60</f>
        <v>LEIDEN_TQ_RPTEC_CSP2_B09</v>
      </c>
      <c r="E60" s="3" t="s">
        <v>69</v>
      </c>
      <c r="F60" s="3" t="s">
        <v>669</v>
      </c>
      <c r="G60" s="3" t="s">
        <v>626</v>
      </c>
      <c r="H60" s="3" t="s">
        <v>627</v>
      </c>
      <c r="I60" s="3" t="s">
        <v>350</v>
      </c>
      <c r="J60" s="3" t="s">
        <v>371</v>
      </c>
      <c r="K60" s="3" t="s">
        <v>671</v>
      </c>
      <c r="L60" s="3" t="s">
        <v>371</v>
      </c>
      <c r="M60" s="3">
        <v>16</v>
      </c>
      <c r="N60" s="3" t="str">
        <f>M60&amp;"hr"</f>
        <v>16hr</v>
      </c>
      <c r="O60" s="3" t="str">
        <f>P60&amp;"uM"</f>
        <v>0.5uM</v>
      </c>
      <c r="P60" s="3">
        <v>0.5</v>
      </c>
      <c r="Q60" s="3">
        <v>2</v>
      </c>
      <c r="R60">
        <v>2</v>
      </c>
      <c r="S60" s="3" t="str">
        <f>I60&amp;"_ "&amp;J60&amp;"_ "&amp;N60&amp;"_ "&amp;O60</f>
        <v>RPTEC-TERT1_ CSP_ 16hr_ 0.5uM</v>
      </c>
      <c r="T60" s="3" t="s">
        <v>470</v>
      </c>
      <c r="U60" s="3" t="s">
        <v>484</v>
      </c>
      <c r="V60" s="3">
        <v>4132432</v>
      </c>
      <c r="W60" s="3">
        <v>195.74780919899601</v>
      </c>
      <c r="X60" s="3">
        <v>16</v>
      </c>
    </row>
    <row r="61" spans="1:24" x14ac:dyDescent="0.25">
      <c r="A61" s="3" t="s">
        <v>194</v>
      </c>
      <c r="B61" s="3" t="str">
        <f>H61&amp;"_ "&amp;I61&amp;"_ "&amp;J61&amp;"_ "&amp;N61&amp;"_ "&amp;O61&amp;"_R"&amp;R61</f>
        <v>Human_ RPTEC-TERT1_ CSP_ 16hr_ 0.5uM_R3</v>
      </c>
      <c r="C61" s="3" t="s">
        <v>99</v>
      </c>
      <c r="D61" s="3" t="str">
        <f>C61&amp;"_"&amp;E61</f>
        <v>LEIDEN_TQ_RPTEC_CSP2_C09</v>
      </c>
      <c r="E61" s="3" t="s">
        <v>91</v>
      </c>
      <c r="F61" s="3" t="s">
        <v>669</v>
      </c>
      <c r="G61" s="3" t="s">
        <v>626</v>
      </c>
      <c r="H61" s="3" t="s">
        <v>627</v>
      </c>
      <c r="I61" s="3" t="s">
        <v>350</v>
      </c>
      <c r="J61" s="3" t="s">
        <v>371</v>
      </c>
      <c r="K61" s="3" t="s">
        <v>671</v>
      </c>
      <c r="L61" s="3" t="s">
        <v>371</v>
      </c>
      <c r="M61" s="3">
        <v>16</v>
      </c>
      <c r="N61" s="3" t="str">
        <f>M61&amp;"hr"</f>
        <v>16hr</v>
      </c>
      <c r="O61" s="3" t="str">
        <f>P61&amp;"uM"</f>
        <v>0.5uM</v>
      </c>
      <c r="P61" s="3">
        <v>0.5</v>
      </c>
      <c r="Q61" s="3">
        <v>2</v>
      </c>
      <c r="R61">
        <v>3</v>
      </c>
      <c r="S61" s="3" t="str">
        <f>I61&amp;"_ "&amp;J61&amp;"_ "&amp;N61&amp;"_ "&amp;O61</f>
        <v>RPTEC-TERT1_ CSP_ 16hr_ 0.5uM</v>
      </c>
      <c r="T61" s="3" t="s">
        <v>470</v>
      </c>
      <c r="U61" s="3" t="s">
        <v>495</v>
      </c>
      <c r="V61" s="3">
        <v>3912503</v>
      </c>
      <c r="W61" s="3">
        <v>185.33006489507801</v>
      </c>
      <c r="X61" s="3">
        <v>16</v>
      </c>
    </row>
    <row r="62" spans="1:24" x14ac:dyDescent="0.25">
      <c r="A62" s="3" t="s">
        <v>171</v>
      </c>
      <c r="B62" s="3" t="str">
        <f>H62&amp;"_ "&amp;I62&amp;"_ "&amp;J62&amp;"_ "&amp;N62&amp;"_ "&amp;O62&amp;"_R"&amp;R62</f>
        <v>Human_ RPTEC-TERT1_ CSP_ 16hr_ 1uM_R1</v>
      </c>
      <c r="C62" s="3" t="s">
        <v>99</v>
      </c>
      <c r="D62" s="3" t="str">
        <f>C62&amp;"_"&amp;E62</f>
        <v>LEIDEN_TQ_RPTEC_CSP2_A08</v>
      </c>
      <c r="E62" s="3" t="s">
        <v>45</v>
      </c>
      <c r="F62" s="3" t="s">
        <v>669</v>
      </c>
      <c r="G62" s="3" t="s">
        <v>626</v>
      </c>
      <c r="H62" s="3" t="s">
        <v>627</v>
      </c>
      <c r="I62" s="3" t="s">
        <v>350</v>
      </c>
      <c r="J62" s="3" t="s">
        <v>371</v>
      </c>
      <c r="K62" s="3" t="s">
        <v>671</v>
      </c>
      <c r="L62" s="3" t="s">
        <v>371</v>
      </c>
      <c r="M62" s="3">
        <v>16</v>
      </c>
      <c r="N62" s="3" t="str">
        <f>M62&amp;"hr"</f>
        <v>16hr</v>
      </c>
      <c r="O62" s="3" t="str">
        <f>P62&amp;"uM"</f>
        <v>1uM</v>
      </c>
      <c r="P62" s="3">
        <v>1</v>
      </c>
      <c r="Q62" s="3">
        <v>3</v>
      </c>
      <c r="R62">
        <v>1</v>
      </c>
      <c r="S62" s="3" t="str">
        <f>I62&amp;"_ "&amp;J62&amp;"_ "&amp;N62&amp;"_ "&amp;O62</f>
        <v>RPTEC-TERT1_ CSP_ 16hr_ 1uM</v>
      </c>
      <c r="T62" s="3" t="s">
        <v>468</v>
      </c>
      <c r="U62" s="3" t="s">
        <v>469</v>
      </c>
      <c r="V62" s="3">
        <v>3287464</v>
      </c>
      <c r="W62" s="3">
        <v>155.72279854104499</v>
      </c>
      <c r="X62" s="3">
        <v>16</v>
      </c>
    </row>
    <row r="63" spans="1:24" x14ac:dyDescent="0.25">
      <c r="A63" s="3" t="s">
        <v>182</v>
      </c>
      <c r="B63" s="3" t="str">
        <f>H63&amp;"_ "&amp;I63&amp;"_ "&amp;J63&amp;"_ "&amp;N63&amp;"_ "&amp;O63&amp;"_R"&amp;R63</f>
        <v>Human_ RPTEC-TERT1_ CSP_ 16hr_ 1uM_R2</v>
      </c>
      <c r="C63" s="3" t="s">
        <v>99</v>
      </c>
      <c r="D63" s="3" t="str">
        <f>C63&amp;"_"&amp;E63</f>
        <v>LEIDEN_TQ_RPTEC_CSP2_B08</v>
      </c>
      <c r="E63" s="3" t="s">
        <v>67</v>
      </c>
      <c r="F63" s="3" t="s">
        <v>669</v>
      </c>
      <c r="G63" s="3" t="s">
        <v>626</v>
      </c>
      <c r="H63" s="3" t="s">
        <v>627</v>
      </c>
      <c r="I63" s="3" t="s">
        <v>350</v>
      </c>
      <c r="J63" s="3" t="s">
        <v>371</v>
      </c>
      <c r="K63" s="3" t="s">
        <v>671</v>
      </c>
      <c r="L63" s="3" t="s">
        <v>371</v>
      </c>
      <c r="M63" s="3">
        <v>16</v>
      </c>
      <c r="N63" s="3" t="str">
        <f>M63&amp;"hr"</f>
        <v>16hr</v>
      </c>
      <c r="O63" s="3" t="str">
        <f>P63&amp;"uM"</f>
        <v>1uM</v>
      </c>
      <c r="P63" s="3">
        <v>1</v>
      </c>
      <c r="Q63" s="3">
        <v>3</v>
      </c>
      <c r="R63">
        <v>2</v>
      </c>
      <c r="S63" s="3" t="str">
        <f>I63&amp;"_ "&amp;J63&amp;"_ "&amp;N63&amp;"_ "&amp;O63</f>
        <v>RPTEC-TERT1_ CSP_ 16hr_ 1uM</v>
      </c>
      <c r="T63" s="3" t="s">
        <v>468</v>
      </c>
      <c r="U63" s="3" t="s">
        <v>483</v>
      </c>
      <c r="V63" s="3">
        <v>5019989</v>
      </c>
      <c r="W63" s="3">
        <v>237.790204158969</v>
      </c>
      <c r="X63" s="3">
        <v>16</v>
      </c>
    </row>
    <row r="64" spans="1:24" x14ac:dyDescent="0.25">
      <c r="A64" s="3" t="s">
        <v>193</v>
      </c>
      <c r="B64" s="3" t="str">
        <f>H64&amp;"_ "&amp;I64&amp;"_ "&amp;J64&amp;"_ "&amp;N64&amp;"_ "&amp;O64&amp;"_R"&amp;R64</f>
        <v>Human_ RPTEC-TERT1_ CSP_ 16hr_ 1uM_R3</v>
      </c>
      <c r="C64" s="3" t="s">
        <v>99</v>
      </c>
      <c r="D64" s="3" t="str">
        <f>C64&amp;"_"&amp;E64</f>
        <v>LEIDEN_TQ_RPTEC_CSP2_C08</v>
      </c>
      <c r="E64" s="3" t="s">
        <v>89</v>
      </c>
      <c r="F64" s="3" t="s">
        <v>669</v>
      </c>
      <c r="G64" s="3" t="s">
        <v>626</v>
      </c>
      <c r="H64" s="3" t="s">
        <v>627</v>
      </c>
      <c r="I64" s="3" t="s">
        <v>350</v>
      </c>
      <c r="J64" s="3" t="s">
        <v>371</v>
      </c>
      <c r="K64" s="3" t="s">
        <v>671</v>
      </c>
      <c r="L64" s="3" t="s">
        <v>371</v>
      </c>
      <c r="M64" s="3">
        <v>16</v>
      </c>
      <c r="N64" s="3" t="str">
        <f>M64&amp;"hr"</f>
        <v>16hr</v>
      </c>
      <c r="O64" s="3" t="str">
        <f>P64&amp;"uM"</f>
        <v>1uM</v>
      </c>
      <c r="P64" s="3">
        <v>1</v>
      </c>
      <c r="Q64" s="3">
        <v>3</v>
      </c>
      <c r="R64">
        <v>3</v>
      </c>
      <c r="S64" s="3" t="str">
        <f>I64&amp;"_ "&amp;J64&amp;"_ "&amp;N64&amp;"_ "&amp;O64</f>
        <v>RPTEC-TERT1_ CSP_ 16hr_ 1uM</v>
      </c>
      <c r="T64" s="3" t="s">
        <v>468</v>
      </c>
      <c r="U64" s="3" t="s">
        <v>494</v>
      </c>
      <c r="V64" s="3">
        <v>4236558</v>
      </c>
      <c r="W64" s="3">
        <v>200.68011936904901</v>
      </c>
      <c r="X64" s="3">
        <v>16</v>
      </c>
    </row>
    <row r="65" spans="1:24" x14ac:dyDescent="0.25">
      <c r="A65" s="3" t="s">
        <v>170</v>
      </c>
      <c r="B65" s="3" t="str">
        <f>H65&amp;"_ "&amp;I65&amp;"_ "&amp;J65&amp;"_ "&amp;N65&amp;"_ "&amp;O65&amp;"_R"&amp;R65</f>
        <v>Human_ RPTEC-TERT1_ CSP_ 16hr_ 2.5uM_R1</v>
      </c>
      <c r="C65" s="3" t="s">
        <v>99</v>
      </c>
      <c r="D65" s="3" t="str">
        <f>C65&amp;"_"&amp;E65</f>
        <v>LEIDEN_TQ_RPTEC_CSP2_A07</v>
      </c>
      <c r="E65" s="3" t="s">
        <v>43</v>
      </c>
      <c r="F65" s="3" t="s">
        <v>669</v>
      </c>
      <c r="G65" s="3" t="s">
        <v>626</v>
      </c>
      <c r="H65" s="3" t="s">
        <v>627</v>
      </c>
      <c r="I65" s="3" t="s">
        <v>350</v>
      </c>
      <c r="J65" s="3" t="s">
        <v>371</v>
      </c>
      <c r="K65" s="3" t="s">
        <v>671</v>
      </c>
      <c r="L65" s="3" t="s">
        <v>371</v>
      </c>
      <c r="M65" s="3">
        <v>16</v>
      </c>
      <c r="N65" s="3" t="str">
        <f>M65&amp;"hr"</f>
        <v>16hr</v>
      </c>
      <c r="O65" s="3" t="str">
        <f>P65&amp;"uM"</f>
        <v>2.5uM</v>
      </c>
      <c r="P65" s="3">
        <v>2.5</v>
      </c>
      <c r="Q65" s="3">
        <v>4</v>
      </c>
      <c r="R65">
        <v>1</v>
      </c>
      <c r="S65" s="3" t="str">
        <f>I65&amp;"_ "&amp;J65&amp;"_ "&amp;N65&amp;"_ "&amp;O65</f>
        <v>RPTEC-TERT1_ CSP_ 16hr_ 2.5uM</v>
      </c>
      <c r="T65" s="3" t="s">
        <v>466</v>
      </c>
      <c r="U65" s="3" t="s">
        <v>467</v>
      </c>
      <c r="V65" s="3">
        <v>1745785</v>
      </c>
      <c r="W65" s="3">
        <v>82.695514186916796</v>
      </c>
      <c r="X65" s="3">
        <v>16</v>
      </c>
    </row>
    <row r="66" spans="1:24" x14ac:dyDescent="0.25">
      <c r="A66" s="3" t="s">
        <v>181</v>
      </c>
      <c r="B66" s="3" t="str">
        <f>H66&amp;"_ "&amp;I66&amp;"_ "&amp;J66&amp;"_ "&amp;N66&amp;"_ "&amp;O66&amp;"_R"&amp;R66</f>
        <v>Human_ RPTEC-TERT1_ CSP_ 16hr_ 2.5uM_R2</v>
      </c>
      <c r="C66" s="3" t="s">
        <v>99</v>
      </c>
      <c r="D66" s="3" t="str">
        <f>C66&amp;"_"&amp;E66</f>
        <v>LEIDEN_TQ_RPTEC_CSP2_B07</v>
      </c>
      <c r="E66" s="3" t="s">
        <v>65</v>
      </c>
      <c r="F66" s="3" t="s">
        <v>669</v>
      </c>
      <c r="G66" s="3" t="s">
        <v>626</v>
      </c>
      <c r="H66" s="3" t="s">
        <v>627</v>
      </c>
      <c r="I66" s="3" t="s">
        <v>350</v>
      </c>
      <c r="J66" s="3" t="s">
        <v>371</v>
      </c>
      <c r="K66" s="3" t="s">
        <v>671</v>
      </c>
      <c r="L66" s="3" t="s">
        <v>371</v>
      </c>
      <c r="M66" s="3">
        <v>16</v>
      </c>
      <c r="N66" s="3" t="str">
        <f>M66&amp;"hr"</f>
        <v>16hr</v>
      </c>
      <c r="O66" s="3" t="str">
        <f>P66&amp;"uM"</f>
        <v>2.5uM</v>
      </c>
      <c r="P66" s="3">
        <v>2.5</v>
      </c>
      <c r="Q66" s="3">
        <v>4</v>
      </c>
      <c r="R66">
        <v>2</v>
      </c>
      <c r="S66" s="3" t="str">
        <f>I66&amp;"_ "&amp;J66&amp;"_ "&amp;N66&amp;"_ "&amp;O66</f>
        <v>RPTEC-TERT1_ CSP_ 16hr_ 2.5uM</v>
      </c>
      <c r="T66" s="3" t="s">
        <v>466</v>
      </c>
      <c r="U66" s="3" t="s">
        <v>482</v>
      </c>
      <c r="V66" s="3">
        <v>4226354</v>
      </c>
      <c r="W66" s="3">
        <v>200.19676945668101</v>
      </c>
      <c r="X66" s="3">
        <v>16</v>
      </c>
    </row>
    <row r="67" spans="1:24" x14ac:dyDescent="0.25">
      <c r="A67" s="3" t="s">
        <v>192</v>
      </c>
      <c r="B67" s="3" t="str">
        <f>H67&amp;"_ "&amp;I67&amp;"_ "&amp;J67&amp;"_ "&amp;N67&amp;"_ "&amp;O67&amp;"_R"&amp;R67</f>
        <v>Human_ RPTEC-TERT1_ CSP_ 16hr_ 2.5uM_R3</v>
      </c>
      <c r="C67" s="3" t="s">
        <v>99</v>
      </c>
      <c r="D67" s="3" t="str">
        <f>C67&amp;"_"&amp;E67</f>
        <v>LEIDEN_TQ_RPTEC_CSP2_C07</v>
      </c>
      <c r="E67" s="3" t="s">
        <v>87</v>
      </c>
      <c r="F67" s="3" t="s">
        <v>669</v>
      </c>
      <c r="G67" s="3" t="s">
        <v>626</v>
      </c>
      <c r="H67" s="3" t="s">
        <v>627</v>
      </c>
      <c r="I67" s="3" t="s">
        <v>350</v>
      </c>
      <c r="J67" s="3" t="s">
        <v>371</v>
      </c>
      <c r="K67" s="3" t="s">
        <v>671</v>
      </c>
      <c r="L67" s="3" t="s">
        <v>371</v>
      </c>
      <c r="M67" s="3">
        <v>16</v>
      </c>
      <c r="N67" s="3" t="str">
        <f>M67&amp;"hr"</f>
        <v>16hr</v>
      </c>
      <c r="O67" s="3" t="str">
        <f>P67&amp;"uM"</f>
        <v>2.5uM</v>
      </c>
      <c r="P67" s="3">
        <v>2.5</v>
      </c>
      <c r="Q67" s="3">
        <v>4</v>
      </c>
      <c r="R67">
        <v>3</v>
      </c>
      <c r="S67" s="3" t="str">
        <f>I67&amp;"_ "&amp;J67&amp;"_ "&amp;N67&amp;"_ "&amp;O67</f>
        <v>RPTEC-TERT1_ CSP_ 16hr_ 2.5uM</v>
      </c>
      <c r="T67" s="3" t="s">
        <v>466</v>
      </c>
      <c r="U67" s="3" t="s">
        <v>493</v>
      </c>
      <c r="V67" s="3">
        <v>4410249</v>
      </c>
      <c r="W67" s="3">
        <v>208.90763109279499</v>
      </c>
      <c r="X67" s="3">
        <v>16</v>
      </c>
    </row>
    <row r="68" spans="1:24" x14ac:dyDescent="0.25">
      <c r="A68" s="3" t="s">
        <v>169</v>
      </c>
      <c r="B68" s="3" t="str">
        <f>H68&amp;"_ "&amp;I68&amp;"_ "&amp;J68&amp;"_ "&amp;N68&amp;"_ "&amp;O68&amp;"_R"&amp;R68</f>
        <v>Human_ RPTEC-TERT1_ CSP_ 16hr_ 5uM_R1</v>
      </c>
      <c r="C68" s="3" t="s">
        <v>99</v>
      </c>
      <c r="D68" s="3" t="str">
        <f>C68&amp;"_"&amp;E68</f>
        <v>LEIDEN_TQ_RPTEC_CSP2_A06</v>
      </c>
      <c r="E68" s="3" t="s">
        <v>41</v>
      </c>
      <c r="F68" s="3" t="s">
        <v>669</v>
      </c>
      <c r="G68" s="3" t="s">
        <v>626</v>
      </c>
      <c r="H68" s="3" t="s">
        <v>627</v>
      </c>
      <c r="I68" s="3" t="s">
        <v>350</v>
      </c>
      <c r="J68" s="3" t="s">
        <v>371</v>
      </c>
      <c r="K68" s="3" t="s">
        <v>671</v>
      </c>
      <c r="L68" s="3" t="s">
        <v>371</v>
      </c>
      <c r="M68" s="3">
        <v>16</v>
      </c>
      <c r="N68" s="3" t="str">
        <f>M68&amp;"hr"</f>
        <v>16hr</v>
      </c>
      <c r="O68" s="3" t="str">
        <f>P68&amp;"uM"</f>
        <v>5uM</v>
      </c>
      <c r="P68" s="3">
        <v>5</v>
      </c>
      <c r="Q68" s="3">
        <v>5</v>
      </c>
      <c r="R68">
        <v>1</v>
      </c>
      <c r="S68" s="3" t="str">
        <f>I68&amp;"_ "&amp;J68&amp;"_ "&amp;N68&amp;"_ "&amp;O68</f>
        <v>RPTEC-TERT1_ CSP_ 16hr_ 5uM</v>
      </c>
      <c r="T68" s="3" t="s">
        <v>464</v>
      </c>
      <c r="U68" s="3" t="s">
        <v>465</v>
      </c>
      <c r="V68" s="3">
        <v>5029466</v>
      </c>
      <c r="W68" s="3">
        <v>238.239117047984</v>
      </c>
      <c r="X68" s="3">
        <v>16</v>
      </c>
    </row>
    <row r="69" spans="1:24" x14ac:dyDescent="0.25">
      <c r="A69" s="3" t="s">
        <v>180</v>
      </c>
      <c r="B69" s="3" t="str">
        <f>H69&amp;"_ "&amp;I69&amp;"_ "&amp;J69&amp;"_ "&amp;N69&amp;"_ "&amp;O69&amp;"_R"&amp;R69</f>
        <v>Human_ RPTEC-TERT1_ CSP_ 16hr_ 5uM_R2</v>
      </c>
      <c r="C69" s="3" t="s">
        <v>99</v>
      </c>
      <c r="D69" s="3" t="str">
        <f>C69&amp;"_"&amp;E69</f>
        <v>LEIDEN_TQ_RPTEC_CSP2_B06</v>
      </c>
      <c r="E69" s="3" t="s">
        <v>63</v>
      </c>
      <c r="F69" s="3" t="s">
        <v>669</v>
      </c>
      <c r="G69" s="3" t="s">
        <v>626</v>
      </c>
      <c r="H69" s="3" t="s">
        <v>627</v>
      </c>
      <c r="I69" s="3" t="s">
        <v>350</v>
      </c>
      <c r="J69" s="3" t="s">
        <v>371</v>
      </c>
      <c r="K69" s="3" t="s">
        <v>671</v>
      </c>
      <c r="L69" s="3" t="s">
        <v>371</v>
      </c>
      <c r="M69" s="3">
        <v>16</v>
      </c>
      <c r="N69" s="3" t="str">
        <f>M69&amp;"hr"</f>
        <v>16hr</v>
      </c>
      <c r="O69" s="3" t="str">
        <f>P69&amp;"uM"</f>
        <v>5uM</v>
      </c>
      <c r="P69" s="3">
        <v>5</v>
      </c>
      <c r="Q69" s="3">
        <v>5</v>
      </c>
      <c r="R69">
        <v>2</v>
      </c>
      <c r="S69" s="3" t="str">
        <f>I69&amp;"_ "&amp;J69&amp;"_ "&amp;N69&amp;"_ "&amp;O69</f>
        <v>RPTEC-TERT1_ CSP_ 16hr_ 5uM</v>
      </c>
      <c r="T69" s="3" t="s">
        <v>464</v>
      </c>
      <c r="U69" s="3" t="s">
        <v>481</v>
      </c>
      <c r="V69" s="3">
        <v>5349919</v>
      </c>
      <c r="W69" s="3">
        <v>253.418549571314</v>
      </c>
      <c r="X69" s="3">
        <v>16</v>
      </c>
    </row>
    <row r="70" spans="1:24" x14ac:dyDescent="0.25">
      <c r="A70" s="3" t="s">
        <v>191</v>
      </c>
      <c r="B70" s="3" t="str">
        <f>H70&amp;"_ "&amp;I70&amp;"_ "&amp;J70&amp;"_ "&amp;N70&amp;"_ "&amp;O70&amp;"_R"&amp;R70</f>
        <v>Human_ RPTEC-TERT1_ CSP_ 16hr_ 5uM_R3</v>
      </c>
      <c r="C70" s="3" t="s">
        <v>99</v>
      </c>
      <c r="D70" s="3" t="str">
        <f>C70&amp;"_"&amp;E70</f>
        <v>LEIDEN_TQ_RPTEC_CSP2_C06</v>
      </c>
      <c r="E70" s="3" t="s">
        <v>85</v>
      </c>
      <c r="F70" s="3" t="s">
        <v>669</v>
      </c>
      <c r="G70" s="3" t="s">
        <v>626</v>
      </c>
      <c r="H70" s="3" t="s">
        <v>627</v>
      </c>
      <c r="I70" s="3" t="s">
        <v>350</v>
      </c>
      <c r="J70" s="3" t="s">
        <v>371</v>
      </c>
      <c r="K70" s="3" t="s">
        <v>671</v>
      </c>
      <c r="L70" s="3" t="s">
        <v>371</v>
      </c>
      <c r="M70" s="3">
        <v>16</v>
      </c>
      <c r="N70" s="3" t="str">
        <f>M70&amp;"hr"</f>
        <v>16hr</v>
      </c>
      <c r="O70" s="3" t="str">
        <f>P70&amp;"uM"</f>
        <v>5uM</v>
      </c>
      <c r="P70" s="3">
        <v>5</v>
      </c>
      <c r="Q70" s="3">
        <v>5</v>
      </c>
      <c r="R70">
        <v>3</v>
      </c>
      <c r="S70" s="3" t="str">
        <f>I70&amp;"_ "&amp;J70&amp;"_ "&amp;N70&amp;"_ "&amp;O70</f>
        <v>RPTEC-TERT1_ CSP_ 16hr_ 5uM</v>
      </c>
      <c r="T70" s="3" t="s">
        <v>464</v>
      </c>
      <c r="U70" s="3" t="s">
        <v>492</v>
      </c>
      <c r="V70" s="3">
        <v>3208052</v>
      </c>
      <c r="W70" s="3">
        <v>151.96115769030399</v>
      </c>
      <c r="X70" s="3">
        <v>16</v>
      </c>
    </row>
    <row r="71" spans="1:24" x14ac:dyDescent="0.25">
      <c r="A71" s="3" t="s">
        <v>168</v>
      </c>
      <c r="B71" s="3" t="str">
        <f>H71&amp;"_ "&amp;I71&amp;"_ "&amp;J71&amp;"_ "&amp;N71&amp;"_ "&amp;O71&amp;"_R"&amp;R71</f>
        <v>Human_ RPTEC-TERT1_ CSP_ 16hr_ 10uM_R1</v>
      </c>
      <c r="C71" s="3" t="s">
        <v>99</v>
      </c>
      <c r="D71" s="3" t="str">
        <f>C71&amp;"_"&amp;E71</f>
        <v>LEIDEN_TQ_RPTEC_CSP2_A05</v>
      </c>
      <c r="E71" s="3" t="s">
        <v>39</v>
      </c>
      <c r="F71" s="3" t="s">
        <v>669</v>
      </c>
      <c r="G71" s="3" t="s">
        <v>626</v>
      </c>
      <c r="H71" s="3" t="s">
        <v>627</v>
      </c>
      <c r="I71" s="3" t="s">
        <v>350</v>
      </c>
      <c r="J71" s="3" t="s">
        <v>371</v>
      </c>
      <c r="K71" s="3" t="s">
        <v>671</v>
      </c>
      <c r="L71" s="3" t="s">
        <v>371</v>
      </c>
      <c r="M71" s="3">
        <v>16</v>
      </c>
      <c r="N71" s="3" t="str">
        <f>M71&amp;"hr"</f>
        <v>16hr</v>
      </c>
      <c r="O71" s="3" t="str">
        <f>P71&amp;"uM"</f>
        <v>10uM</v>
      </c>
      <c r="P71" s="3">
        <v>10</v>
      </c>
      <c r="Q71" s="3">
        <v>6</v>
      </c>
      <c r="R71">
        <v>1</v>
      </c>
      <c r="S71" s="3" t="str">
        <f>I71&amp;"_ "&amp;J71&amp;"_ "&amp;N71&amp;"_ "&amp;O71</f>
        <v>RPTEC-TERT1_ CSP_ 16hr_ 10uM</v>
      </c>
      <c r="T71" s="3" t="s">
        <v>462</v>
      </c>
      <c r="U71" s="3" t="s">
        <v>463</v>
      </c>
      <c r="V71" s="3">
        <v>4980379</v>
      </c>
      <c r="W71" s="3">
        <v>235.91393112595301</v>
      </c>
      <c r="X71" s="3">
        <v>16</v>
      </c>
    </row>
    <row r="72" spans="1:24" x14ac:dyDescent="0.25">
      <c r="A72" s="3" t="s">
        <v>179</v>
      </c>
      <c r="B72" s="3" t="str">
        <f>H72&amp;"_ "&amp;I72&amp;"_ "&amp;J72&amp;"_ "&amp;N72&amp;"_ "&amp;O72&amp;"_R"&amp;R72</f>
        <v>Human_ RPTEC-TERT1_ CSP_ 16hr_ 10uM_R2</v>
      </c>
      <c r="C72" s="3" t="s">
        <v>99</v>
      </c>
      <c r="D72" s="3" t="str">
        <f>C72&amp;"_"&amp;E72</f>
        <v>LEIDEN_TQ_RPTEC_CSP2_B05</v>
      </c>
      <c r="E72" s="3" t="s">
        <v>61</v>
      </c>
      <c r="F72" s="3" t="s">
        <v>669</v>
      </c>
      <c r="G72" s="3" t="s">
        <v>626</v>
      </c>
      <c r="H72" s="3" t="s">
        <v>627</v>
      </c>
      <c r="I72" s="3" t="s">
        <v>350</v>
      </c>
      <c r="J72" s="3" t="s">
        <v>371</v>
      </c>
      <c r="K72" s="3" t="s">
        <v>671</v>
      </c>
      <c r="L72" s="3" t="s">
        <v>371</v>
      </c>
      <c r="M72" s="3">
        <v>16</v>
      </c>
      <c r="N72" s="3" t="str">
        <f>M72&amp;"hr"</f>
        <v>16hr</v>
      </c>
      <c r="O72" s="3" t="str">
        <f>P72&amp;"uM"</f>
        <v>10uM</v>
      </c>
      <c r="P72" s="3">
        <v>10</v>
      </c>
      <c r="Q72" s="3">
        <v>6</v>
      </c>
      <c r="R72">
        <v>2</v>
      </c>
      <c r="S72" s="3" t="str">
        <f>I72&amp;"_ "&amp;J72&amp;"_ "&amp;N72&amp;"_ "&amp;O72</f>
        <v>RPTEC-TERT1_ CSP_ 16hr_ 10uM</v>
      </c>
      <c r="T72" s="3" t="s">
        <v>462</v>
      </c>
      <c r="U72" s="3" t="s">
        <v>480</v>
      </c>
      <c r="V72" s="3">
        <v>4822871</v>
      </c>
      <c r="W72" s="3">
        <v>228.45298659466599</v>
      </c>
      <c r="X72" s="3">
        <v>16</v>
      </c>
    </row>
    <row r="73" spans="1:24" x14ac:dyDescent="0.25">
      <c r="A73" s="3" t="s">
        <v>190</v>
      </c>
      <c r="B73" s="3" t="str">
        <f>H73&amp;"_ "&amp;I73&amp;"_ "&amp;J73&amp;"_ "&amp;N73&amp;"_ "&amp;O73&amp;"_R"&amp;R73</f>
        <v>Human_ RPTEC-TERT1_ CSP_ 16hr_ 10uM_R3</v>
      </c>
      <c r="C73" s="3" t="s">
        <v>99</v>
      </c>
      <c r="D73" s="3" t="str">
        <f>C73&amp;"_"&amp;E73</f>
        <v>LEIDEN_TQ_RPTEC_CSP2_C05</v>
      </c>
      <c r="E73" s="3" t="s">
        <v>83</v>
      </c>
      <c r="F73" s="3" t="s">
        <v>669</v>
      </c>
      <c r="G73" s="3" t="s">
        <v>626</v>
      </c>
      <c r="H73" s="3" t="s">
        <v>627</v>
      </c>
      <c r="I73" s="3" t="s">
        <v>350</v>
      </c>
      <c r="J73" s="3" t="s">
        <v>371</v>
      </c>
      <c r="K73" s="3" t="s">
        <v>671</v>
      </c>
      <c r="L73" s="3" t="s">
        <v>371</v>
      </c>
      <c r="M73" s="3">
        <v>16</v>
      </c>
      <c r="N73" s="3" t="str">
        <f>M73&amp;"hr"</f>
        <v>16hr</v>
      </c>
      <c r="O73" s="3" t="str">
        <f>P73&amp;"uM"</f>
        <v>10uM</v>
      </c>
      <c r="P73" s="3">
        <v>10</v>
      </c>
      <c r="Q73" s="3">
        <v>6</v>
      </c>
      <c r="R73">
        <v>3</v>
      </c>
      <c r="S73" s="3" t="str">
        <f>I73&amp;"_ "&amp;J73&amp;"_ "&amp;N73&amp;"_ "&amp;O73</f>
        <v>RPTEC-TERT1_ CSP_ 16hr_ 10uM</v>
      </c>
      <c r="T73" s="3" t="s">
        <v>462</v>
      </c>
      <c r="U73" s="3" t="s">
        <v>491</v>
      </c>
      <c r="V73" s="3">
        <v>5326903</v>
      </c>
      <c r="W73" s="3">
        <v>252.328312254275</v>
      </c>
      <c r="X73" s="3">
        <v>16</v>
      </c>
    </row>
    <row r="74" spans="1:24" x14ac:dyDescent="0.25">
      <c r="A74" s="3" t="s">
        <v>167</v>
      </c>
      <c r="B74" s="3" t="str">
        <f>H74&amp;"_ "&amp;I74&amp;"_ "&amp;J74&amp;"_ "&amp;N74&amp;"_ "&amp;O74&amp;"_R"&amp;R74</f>
        <v>Human_ RPTEC-TERT1_ CSP_ 16hr_ 20uM_R1</v>
      </c>
      <c r="C74" s="3" t="s">
        <v>99</v>
      </c>
      <c r="D74" s="3" t="str">
        <f>C74&amp;"_"&amp;E74</f>
        <v>LEIDEN_TQ_RPTEC_CSP2_A04</v>
      </c>
      <c r="E74" s="3" t="s">
        <v>37</v>
      </c>
      <c r="F74" s="3" t="s">
        <v>669</v>
      </c>
      <c r="G74" s="3" t="s">
        <v>626</v>
      </c>
      <c r="H74" s="3" t="s">
        <v>627</v>
      </c>
      <c r="I74" s="3" t="s">
        <v>350</v>
      </c>
      <c r="J74" s="3" t="s">
        <v>371</v>
      </c>
      <c r="K74" s="3" t="s">
        <v>671</v>
      </c>
      <c r="L74" s="3" t="s">
        <v>371</v>
      </c>
      <c r="M74" s="3">
        <v>16</v>
      </c>
      <c r="N74" s="3" t="str">
        <f>M74&amp;"hr"</f>
        <v>16hr</v>
      </c>
      <c r="O74" s="3" t="str">
        <f>P74&amp;"uM"</f>
        <v>20uM</v>
      </c>
      <c r="P74" s="3">
        <v>20</v>
      </c>
      <c r="Q74" s="3">
        <v>7</v>
      </c>
      <c r="R74">
        <v>1</v>
      </c>
      <c r="S74" s="3" t="str">
        <f>I74&amp;"_ "&amp;J74&amp;"_ "&amp;N74&amp;"_ "&amp;O74</f>
        <v>RPTEC-TERT1_ CSP_ 16hr_ 20uM</v>
      </c>
      <c r="T74" s="3" t="s">
        <v>460</v>
      </c>
      <c r="U74" s="3" t="s">
        <v>461</v>
      </c>
      <c r="V74" s="3">
        <v>3812461</v>
      </c>
      <c r="W74" s="3">
        <v>180.59120837478099</v>
      </c>
      <c r="X74" s="3">
        <v>16</v>
      </c>
    </row>
    <row r="75" spans="1:24" x14ac:dyDescent="0.25">
      <c r="A75" s="3" t="s">
        <v>178</v>
      </c>
      <c r="B75" s="3" t="str">
        <f>H75&amp;"_ "&amp;I75&amp;"_ "&amp;J75&amp;"_ "&amp;N75&amp;"_ "&amp;O75&amp;"_R"&amp;R75</f>
        <v>Human_ RPTEC-TERT1_ CSP_ 16hr_ 20uM_R2</v>
      </c>
      <c r="C75" s="3" t="s">
        <v>99</v>
      </c>
      <c r="D75" s="3" t="str">
        <f>C75&amp;"_"&amp;E75</f>
        <v>LEIDEN_TQ_RPTEC_CSP2_B04</v>
      </c>
      <c r="E75" s="3" t="s">
        <v>59</v>
      </c>
      <c r="F75" s="3" t="s">
        <v>669</v>
      </c>
      <c r="G75" s="3" t="s">
        <v>626</v>
      </c>
      <c r="H75" s="3" t="s">
        <v>627</v>
      </c>
      <c r="I75" s="3" t="s">
        <v>350</v>
      </c>
      <c r="J75" s="3" t="s">
        <v>371</v>
      </c>
      <c r="K75" s="3" t="s">
        <v>671</v>
      </c>
      <c r="L75" s="3" t="s">
        <v>371</v>
      </c>
      <c r="M75" s="3">
        <v>16</v>
      </c>
      <c r="N75" s="3" t="str">
        <f>M75&amp;"hr"</f>
        <v>16hr</v>
      </c>
      <c r="O75" s="3" t="str">
        <f>P75&amp;"uM"</f>
        <v>20uM</v>
      </c>
      <c r="P75" s="3">
        <v>20</v>
      </c>
      <c r="Q75" s="3">
        <v>7</v>
      </c>
      <c r="R75">
        <v>2</v>
      </c>
      <c r="S75" s="3" t="str">
        <f>I75&amp;"_ "&amp;J75&amp;"_ "&amp;N75&amp;"_ "&amp;O75</f>
        <v>RPTEC-TERT1_ CSP_ 16hr_ 20uM</v>
      </c>
      <c r="T75" s="3" t="s">
        <v>460</v>
      </c>
      <c r="U75" s="3" t="s">
        <v>479</v>
      </c>
      <c r="V75" s="3">
        <v>648234</v>
      </c>
      <c r="W75" s="3">
        <v>30.7059826630666</v>
      </c>
      <c r="X75" s="3">
        <v>16</v>
      </c>
    </row>
    <row r="76" spans="1:24" x14ac:dyDescent="0.25">
      <c r="A76" s="3" t="s">
        <v>189</v>
      </c>
      <c r="B76" s="3" t="str">
        <f>H76&amp;"_ "&amp;I76&amp;"_ "&amp;J76&amp;"_ "&amp;N76&amp;"_ "&amp;O76&amp;"_R"&amp;R76</f>
        <v>Human_ RPTEC-TERT1_ CSP_ 16hr_ 20uM_R3</v>
      </c>
      <c r="C76" s="3" t="s">
        <v>99</v>
      </c>
      <c r="D76" s="3" t="str">
        <f>C76&amp;"_"&amp;E76</f>
        <v>LEIDEN_TQ_RPTEC_CSP2_C04</v>
      </c>
      <c r="E76" s="3" t="s">
        <v>81</v>
      </c>
      <c r="F76" s="3" t="s">
        <v>669</v>
      </c>
      <c r="G76" s="3" t="s">
        <v>626</v>
      </c>
      <c r="H76" s="3" t="s">
        <v>627</v>
      </c>
      <c r="I76" s="3" t="s">
        <v>350</v>
      </c>
      <c r="J76" s="3" t="s">
        <v>371</v>
      </c>
      <c r="K76" s="3" t="s">
        <v>671</v>
      </c>
      <c r="L76" s="3" t="s">
        <v>371</v>
      </c>
      <c r="M76" s="3">
        <v>16</v>
      </c>
      <c r="N76" s="3" t="str">
        <f>M76&amp;"hr"</f>
        <v>16hr</v>
      </c>
      <c r="O76" s="3" t="str">
        <f>P76&amp;"uM"</f>
        <v>20uM</v>
      </c>
      <c r="P76" s="3">
        <v>20</v>
      </c>
      <c r="Q76" s="3">
        <v>7</v>
      </c>
      <c r="R76">
        <v>3</v>
      </c>
      <c r="S76" s="3" t="str">
        <f>I76&amp;"_ "&amp;J76&amp;"_ "&amp;N76&amp;"_ "&amp;O76</f>
        <v>RPTEC-TERT1_ CSP_ 16hr_ 20uM</v>
      </c>
      <c r="T76" s="3" t="s">
        <v>460</v>
      </c>
      <c r="U76" s="3" t="s">
        <v>490</v>
      </c>
      <c r="V76" s="3">
        <v>731510</v>
      </c>
      <c r="W76" s="3">
        <v>34.6506560560845</v>
      </c>
      <c r="X76" s="3">
        <v>16</v>
      </c>
    </row>
    <row r="77" spans="1:24" x14ac:dyDescent="0.25">
      <c r="A77" s="3" t="s">
        <v>166</v>
      </c>
      <c r="B77" s="3" t="str">
        <f>H77&amp;"_ "&amp;I77&amp;"_ "&amp;J77&amp;"_ "&amp;N77&amp;"_ "&amp;O77&amp;"_R"&amp;R77</f>
        <v>Human_ RPTEC-TERT1_ CSP_ 16hr_ 30uM_R1</v>
      </c>
      <c r="C77" s="3" t="s">
        <v>99</v>
      </c>
      <c r="D77" s="3" t="str">
        <f>C77&amp;"_"&amp;E77</f>
        <v>LEIDEN_TQ_RPTEC_CSP2_A03</v>
      </c>
      <c r="E77" s="3" t="s">
        <v>35</v>
      </c>
      <c r="F77" s="3" t="s">
        <v>669</v>
      </c>
      <c r="G77" s="3" t="s">
        <v>626</v>
      </c>
      <c r="H77" s="3" t="s">
        <v>627</v>
      </c>
      <c r="I77" s="3" t="s">
        <v>350</v>
      </c>
      <c r="J77" s="3" t="s">
        <v>371</v>
      </c>
      <c r="K77" s="3" t="s">
        <v>671</v>
      </c>
      <c r="L77" s="3" t="s">
        <v>371</v>
      </c>
      <c r="M77" s="3">
        <v>16</v>
      </c>
      <c r="N77" s="3" t="str">
        <f>M77&amp;"hr"</f>
        <v>16hr</v>
      </c>
      <c r="O77" s="3" t="str">
        <f>P77&amp;"uM"</f>
        <v>30uM</v>
      </c>
      <c r="P77" s="3">
        <v>30</v>
      </c>
      <c r="Q77" s="3">
        <v>8</v>
      </c>
      <c r="R77">
        <v>1</v>
      </c>
      <c r="S77" s="3" t="str">
        <f>I77&amp;"_ "&amp;J77&amp;"_ "&amp;N77&amp;"_ "&amp;O77</f>
        <v>RPTEC-TERT1_ CSP_ 16hr_ 30uM</v>
      </c>
      <c r="T77" s="3" t="s">
        <v>458</v>
      </c>
      <c r="U77" s="3" t="s">
        <v>459</v>
      </c>
      <c r="V77" s="3">
        <v>5218649</v>
      </c>
      <c r="W77" s="3">
        <v>247.20046421296999</v>
      </c>
      <c r="X77" s="3">
        <v>16</v>
      </c>
    </row>
    <row r="78" spans="1:24" x14ac:dyDescent="0.25">
      <c r="A78" s="3" t="s">
        <v>177</v>
      </c>
      <c r="B78" s="3" t="str">
        <f>H78&amp;"_ "&amp;I78&amp;"_ "&amp;J78&amp;"_ "&amp;N78&amp;"_ "&amp;O78&amp;"_R"&amp;R78</f>
        <v>Human_ RPTEC-TERT1_ CSP_ 16hr_ 30uM_R2</v>
      </c>
      <c r="C78" s="3" t="s">
        <v>99</v>
      </c>
      <c r="D78" s="3" t="str">
        <f>C78&amp;"_"&amp;E78</f>
        <v>LEIDEN_TQ_RPTEC_CSP2_B03</v>
      </c>
      <c r="E78" s="3" t="s">
        <v>57</v>
      </c>
      <c r="F78" s="3" t="s">
        <v>669</v>
      </c>
      <c r="G78" s="3" t="s">
        <v>626</v>
      </c>
      <c r="H78" s="3" t="s">
        <v>627</v>
      </c>
      <c r="I78" s="3" t="s">
        <v>350</v>
      </c>
      <c r="J78" s="3" t="s">
        <v>371</v>
      </c>
      <c r="K78" s="3" t="s">
        <v>671</v>
      </c>
      <c r="L78" s="3" t="s">
        <v>371</v>
      </c>
      <c r="M78" s="3">
        <v>16</v>
      </c>
      <c r="N78" s="3" t="str">
        <f>M78&amp;"hr"</f>
        <v>16hr</v>
      </c>
      <c r="O78" s="3" t="str">
        <f>P78&amp;"uM"</f>
        <v>30uM</v>
      </c>
      <c r="P78" s="3">
        <v>30</v>
      </c>
      <c r="Q78" s="3">
        <v>8</v>
      </c>
      <c r="R78">
        <v>2</v>
      </c>
      <c r="S78" s="3" t="str">
        <f>I78&amp;"_ "&amp;J78&amp;"_ "&amp;N78&amp;"_ "&amp;O78</f>
        <v>RPTEC-TERT1_ CSP_ 16hr_ 30uM</v>
      </c>
      <c r="T78" s="3" t="s">
        <v>458</v>
      </c>
      <c r="U78" s="3" t="s">
        <v>478</v>
      </c>
      <c r="V78" s="3">
        <v>5044958</v>
      </c>
      <c r="W78" s="3">
        <v>238.97295248922401</v>
      </c>
      <c r="X78" s="3">
        <v>16</v>
      </c>
    </row>
    <row r="79" spans="1:24" x14ac:dyDescent="0.25">
      <c r="A79" s="3" t="s">
        <v>188</v>
      </c>
      <c r="B79" s="3" t="str">
        <f>H79&amp;"_ "&amp;I79&amp;"_ "&amp;J79&amp;"_ "&amp;N79&amp;"_ "&amp;O79&amp;"_R"&amp;R79</f>
        <v>Human_ RPTEC-TERT1_ CSP_ 16hr_ 30uM_R3</v>
      </c>
      <c r="C79" s="3" t="s">
        <v>99</v>
      </c>
      <c r="D79" s="3" t="str">
        <f>C79&amp;"_"&amp;E79</f>
        <v>LEIDEN_TQ_RPTEC_CSP2_C03</v>
      </c>
      <c r="E79" s="3" t="s">
        <v>79</v>
      </c>
      <c r="F79" s="3" t="s">
        <v>669</v>
      </c>
      <c r="G79" s="3" t="s">
        <v>626</v>
      </c>
      <c r="H79" s="3" t="s">
        <v>627</v>
      </c>
      <c r="I79" s="3" t="s">
        <v>350</v>
      </c>
      <c r="J79" s="3" t="s">
        <v>371</v>
      </c>
      <c r="K79" s="3" t="s">
        <v>671</v>
      </c>
      <c r="L79" s="3" t="s">
        <v>371</v>
      </c>
      <c r="M79" s="3">
        <v>16</v>
      </c>
      <c r="N79" s="3" t="str">
        <f>M79&amp;"hr"</f>
        <v>16hr</v>
      </c>
      <c r="O79" s="3" t="str">
        <f>P79&amp;"uM"</f>
        <v>30uM</v>
      </c>
      <c r="P79" s="3">
        <v>30</v>
      </c>
      <c r="Q79" s="3">
        <v>8</v>
      </c>
      <c r="R79">
        <v>3</v>
      </c>
      <c r="S79" s="3" t="str">
        <f>I79&amp;"_ "&amp;J79&amp;"_ "&amp;N79&amp;"_ "&amp;O79</f>
        <v>RPTEC-TERT1_ CSP_ 16hr_ 30uM</v>
      </c>
      <c r="T79" s="3" t="s">
        <v>458</v>
      </c>
      <c r="U79" s="3" t="s">
        <v>489</v>
      </c>
      <c r="V79" s="3">
        <v>3171326</v>
      </c>
      <c r="W79" s="3">
        <v>150.22149590261</v>
      </c>
      <c r="X79" s="3">
        <v>16</v>
      </c>
    </row>
    <row r="80" spans="1:24" x14ac:dyDescent="0.25">
      <c r="A80" s="3" t="s">
        <v>165</v>
      </c>
      <c r="B80" s="3" t="str">
        <f>H80&amp;"_ "&amp;I80&amp;"_ "&amp;J80&amp;"_ "&amp;N80&amp;"_ "&amp;O80&amp;"_R"&amp;R80</f>
        <v>Human_ RPTEC-TERT1_ CSP_ 16hr_ 50uM_R1</v>
      </c>
      <c r="C80" s="3" t="s">
        <v>99</v>
      </c>
      <c r="D80" s="3" t="str">
        <f>C80&amp;"_"&amp;E80</f>
        <v>LEIDEN_TQ_RPTEC_CSP2_A02</v>
      </c>
      <c r="E80" s="3" t="s">
        <v>33</v>
      </c>
      <c r="F80" s="3" t="s">
        <v>669</v>
      </c>
      <c r="G80" s="3" t="s">
        <v>626</v>
      </c>
      <c r="H80" s="3" t="s">
        <v>627</v>
      </c>
      <c r="I80" s="3" t="s">
        <v>350</v>
      </c>
      <c r="J80" s="3" t="s">
        <v>371</v>
      </c>
      <c r="K80" s="3" t="s">
        <v>671</v>
      </c>
      <c r="L80" s="3" t="s">
        <v>371</v>
      </c>
      <c r="M80" s="3">
        <v>16</v>
      </c>
      <c r="N80" s="3" t="str">
        <f>M80&amp;"hr"</f>
        <v>16hr</v>
      </c>
      <c r="O80" s="3" t="str">
        <f>P80&amp;"uM"</f>
        <v>50uM</v>
      </c>
      <c r="P80" s="3">
        <v>50</v>
      </c>
      <c r="Q80" s="3">
        <v>9</v>
      </c>
      <c r="R80">
        <v>1</v>
      </c>
      <c r="S80" s="3" t="str">
        <f>I80&amp;"_ "&amp;J80&amp;"_ "&amp;N80&amp;"_ "&amp;O80</f>
        <v>RPTEC-TERT1_ CSP_ 16hr_ 50uM</v>
      </c>
      <c r="T80" s="3" t="s">
        <v>456</v>
      </c>
      <c r="U80" s="3" t="s">
        <v>457</v>
      </c>
      <c r="V80" s="3">
        <v>4449172</v>
      </c>
      <c r="W80" s="3">
        <v>210.751361849273</v>
      </c>
      <c r="X80" s="3">
        <v>16</v>
      </c>
    </row>
    <row r="81" spans="1:24" x14ac:dyDescent="0.25">
      <c r="A81" s="3" t="s">
        <v>176</v>
      </c>
      <c r="B81" s="3" t="str">
        <f>H81&amp;"_ "&amp;I81&amp;"_ "&amp;J81&amp;"_ "&amp;N81&amp;"_ "&amp;O81&amp;"_R"&amp;R81</f>
        <v>Human_ RPTEC-TERT1_ CSP_ 16hr_ 50uM_R2</v>
      </c>
      <c r="C81" s="3" t="s">
        <v>99</v>
      </c>
      <c r="D81" s="3" t="str">
        <f>C81&amp;"_"&amp;E81</f>
        <v>LEIDEN_TQ_RPTEC_CSP2_B02</v>
      </c>
      <c r="E81" s="3" t="s">
        <v>55</v>
      </c>
      <c r="F81" s="3" t="s">
        <v>669</v>
      </c>
      <c r="G81" s="3" t="s">
        <v>626</v>
      </c>
      <c r="H81" s="3" t="s">
        <v>627</v>
      </c>
      <c r="I81" s="3" t="s">
        <v>350</v>
      </c>
      <c r="J81" s="3" t="s">
        <v>371</v>
      </c>
      <c r="K81" s="3" t="s">
        <v>671</v>
      </c>
      <c r="L81" s="3" t="s">
        <v>371</v>
      </c>
      <c r="M81" s="3">
        <v>16</v>
      </c>
      <c r="N81" s="3" t="str">
        <f>M81&amp;"hr"</f>
        <v>16hr</v>
      </c>
      <c r="O81" s="3" t="str">
        <f>P81&amp;"uM"</f>
        <v>50uM</v>
      </c>
      <c r="P81" s="3">
        <v>50</v>
      </c>
      <c r="Q81" s="3">
        <v>9</v>
      </c>
      <c r="R81">
        <v>2</v>
      </c>
      <c r="S81" s="3" t="str">
        <f>I81&amp;"_ "&amp;J81&amp;"_ "&amp;N81&amp;"_ "&amp;O81</f>
        <v>RPTEC-TERT1_ CSP_ 16hr_ 50uM</v>
      </c>
      <c r="T81" s="3" t="s">
        <v>456</v>
      </c>
      <c r="U81" s="3" t="s">
        <v>477</v>
      </c>
      <c r="V81" s="3">
        <v>5342400</v>
      </c>
      <c r="W81" s="3">
        <v>253.06238453886601</v>
      </c>
      <c r="X81" s="3">
        <v>16</v>
      </c>
    </row>
    <row r="82" spans="1:24" x14ac:dyDescent="0.25">
      <c r="A82" s="3" t="s">
        <v>187</v>
      </c>
      <c r="B82" s="3" t="str">
        <f>H82&amp;"_ "&amp;I82&amp;"_ "&amp;J82&amp;"_ "&amp;N82&amp;"_ "&amp;O82&amp;"_R"&amp;R82</f>
        <v>Human_ RPTEC-TERT1_ CSP_ 16hr_ 50uM_R3</v>
      </c>
      <c r="C82" s="3" t="s">
        <v>99</v>
      </c>
      <c r="D82" s="3" t="str">
        <f>C82&amp;"_"&amp;E82</f>
        <v>LEIDEN_TQ_RPTEC_CSP2_C02</v>
      </c>
      <c r="E82" s="3" t="s">
        <v>77</v>
      </c>
      <c r="F82" s="3" t="s">
        <v>669</v>
      </c>
      <c r="G82" s="3" t="s">
        <v>626</v>
      </c>
      <c r="H82" s="3" t="s">
        <v>627</v>
      </c>
      <c r="I82" s="3" t="s">
        <v>350</v>
      </c>
      <c r="J82" s="3" t="s">
        <v>371</v>
      </c>
      <c r="K82" s="3" t="s">
        <v>671</v>
      </c>
      <c r="L82" s="3" t="s">
        <v>371</v>
      </c>
      <c r="M82" s="3">
        <v>16</v>
      </c>
      <c r="N82" s="3" t="str">
        <f>M82&amp;"hr"</f>
        <v>16hr</v>
      </c>
      <c r="O82" s="3" t="str">
        <f>P82&amp;"uM"</f>
        <v>50uM</v>
      </c>
      <c r="P82" s="3">
        <v>50</v>
      </c>
      <c r="Q82" s="3">
        <v>9</v>
      </c>
      <c r="R82">
        <v>3</v>
      </c>
      <c r="S82" s="3" t="str">
        <f>I82&amp;"_ "&amp;J82&amp;"_ "&amp;N82&amp;"_ "&amp;O82</f>
        <v>RPTEC-TERT1_ CSP_ 16hr_ 50uM</v>
      </c>
      <c r="T82" s="3" t="s">
        <v>456</v>
      </c>
      <c r="U82" s="3" t="s">
        <v>488</v>
      </c>
      <c r="V82" s="3">
        <v>4587873</v>
      </c>
      <c r="W82" s="3">
        <v>217.32144379707299</v>
      </c>
      <c r="X82" s="3">
        <v>16</v>
      </c>
    </row>
    <row r="83" spans="1:24" x14ac:dyDescent="0.25">
      <c r="A83" s="3" t="s">
        <v>206</v>
      </c>
      <c r="B83" s="3" t="str">
        <f>H83&amp;"_ "&amp;I83&amp;"_ "&amp;J83&amp;"_ "&amp;N83&amp;"_ "&amp;O83&amp;"_R"&amp;R83</f>
        <v>Human_ RPTEC-TERT1_ CSP_ 24hr_ 0.1uM_R1</v>
      </c>
      <c r="C83" s="3" t="s">
        <v>99</v>
      </c>
      <c r="D83" s="3" t="str">
        <f>C83&amp;"_"&amp;E83</f>
        <v>LEIDEN_TQ_RPTEC_CSP2_D10</v>
      </c>
      <c r="E83" s="3" t="s">
        <v>116</v>
      </c>
      <c r="F83" s="3" t="s">
        <v>669</v>
      </c>
      <c r="G83" s="3" t="s">
        <v>626</v>
      </c>
      <c r="H83" s="3" t="s">
        <v>627</v>
      </c>
      <c r="I83" s="3" t="s">
        <v>350</v>
      </c>
      <c r="J83" s="3" t="s">
        <v>371</v>
      </c>
      <c r="K83" s="3" t="s">
        <v>671</v>
      </c>
      <c r="L83" s="3" t="s">
        <v>371</v>
      </c>
      <c r="M83" s="3">
        <v>24</v>
      </c>
      <c r="N83" s="3" t="str">
        <f>M83&amp;"hr"</f>
        <v>24hr</v>
      </c>
      <c r="O83" s="3" t="str">
        <f>P83&amp;"uM"</f>
        <v>0.1uM</v>
      </c>
      <c r="P83" s="3">
        <v>0.1</v>
      </c>
      <c r="Q83" s="3">
        <v>1</v>
      </c>
      <c r="R83">
        <v>1</v>
      </c>
      <c r="S83" s="3" t="str">
        <f>I83&amp;"_ "&amp;J83&amp;"_ "&amp;N83&amp;"_ "&amp;O83</f>
        <v>RPTEC-TERT1_ CSP_ 24hr_ 0.1uM</v>
      </c>
      <c r="T83" s="3" t="s">
        <v>514</v>
      </c>
      <c r="U83" s="3" t="s">
        <v>515</v>
      </c>
      <c r="V83" s="3">
        <v>4182248</v>
      </c>
      <c r="W83" s="3">
        <v>198.10752688171999</v>
      </c>
      <c r="X83" s="3">
        <v>24</v>
      </c>
    </row>
    <row r="84" spans="1:24" x14ac:dyDescent="0.25">
      <c r="A84" s="3" t="s">
        <v>217</v>
      </c>
      <c r="B84" s="3" t="str">
        <f>H84&amp;"_ "&amp;I84&amp;"_ "&amp;J84&amp;"_ "&amp;N84&amp;"_ "&amp;O84&amp;"_R"&amp;R84</f>
        <v>Human_ RPTEC-TERT1_ CSP_ 24hr_ 0.1uM_R2</v>
      </c>
      <c r="C84" s="3" t="s">
        <v>99</v>
      </c>
      <c r="D84" s="3" t="str">
        <f>C84&amp;"_"&amp;E84</f>
        <v>LEIDEN_TQ_RPTEC_CSP2_E10</v>
      </c>
      <c r="E84" s="3" t="s">
        <v>138</v>
      </c>
      <c r="F84" s="3" t="s">
        <v>669</v>
      </c>
      <c r="G84" s="3" t="s">
        <v>626</v>
      </c>
      <c r="H84" s="3" t="s">
        <v>627</v>
      </c>
      <c r="I84" s="3" t="s">
        <v>350</v>
      </c>
      <c r="J84" s="3" t="s">
        <v>371</v>
      </c>
      <c r="K84" s="3" t="s">
        <v>671</v>
      </c>
      <c r="L84" s="3" t="s">
        <v>371</v>
      </c>
      <c r="M84" s="3">
        <v>24</v>
      </c>
      <c r="N84" s="3" t="str">
        <f>M84&amp;"hr"</f>
        <v>24hr</v>
      </c>
      <c r="O84" s="3" t="str">
        <f>P84&amp;"uM"</f>
        <v>0.1uM</v>
      </c>
      <c r="P84" s="3">
        <v>0.1</v>
      </c>
      <c r="Q84" s="3">
        <v>1</v>
      </c>
      <c r="R84">
        <v>2</v>
      </c>
      <c r="S84" s="3" t="str">
        <f>I84&amp;"_ "&amp;J84&amp;"_ "&amp;N84&amp;"_ "&amp;O84</f>
        <v>RPTEC-TERT1_ CSP_ 24hr_ 0.1uM</v>
      </c>
      <c r="T84" s="3" t="s">
        <v>514</v>
      </c>
      <c r="U84" s="3" t="s">
        <v>527</v>
      </c>
      <c r="V84" s="3">
        <v>4364382</v>
      </c>
      <c r="W84" s="3">
        <v>206.734972289328</v>
      </c>
      <c r="X84" s="3">
        <v>24</v>
      </c>
    </row>
    <row r="85" spans="1:24" x14ac:dyDescent="0.25">
      <c r="A85" s="3" t="s">
        <v>228</v>
      </c>
      <c r="B85" s="3" t="str">
        <f>H85&amp;"_ "&amp;I85&amp;"_ "&amp;J85&amp;"_ "&amp;N85&amp;"_ "&amp;O85&amp;"_R"&amp;R85</f>
        <v>Human_ RPTEC-TERT1_ CSP_ 24hr_ 0.1uM_R3</v>
      </c>
      <c r="C85" s="3" t="s">
        <v>99</v>
      </c>
      <c r="D85" s="3" t="str">
        <f>C85&amp;"_"&amp;E85</f>
        <v>LEIDEN_TQ_RPTEC_CSP2_F10</v>
      </c>
      <c r="E85" s="3" t="s">
        <v>160</v>
      </c>
      <c r="F85" s="3" t="s">
        <v>669</v>
      </c>
      <c r="G85" s="3" t="s">
        <v>626</v>
      </c>
      <c r="H85" s="3" t="s">
        <v>627</v>
      </c>
      <c r="I85" s="3" t="s">
        <v>350</v>
      </c>
      <c r="J85" s="3" t="s">
        <v>371</v>
      </c>
      <c r="K85" s="3" t="s">
        <v>671</v>
      </c>
      <c r="L85" s="3" t="s">
        <v>371</v>
      </c>
      <c r="M85" s="3">
        <v>24</v>
      </c>
      <c r="N85" s="3" t="str">
        <f>M85&amp;"hr"</f>
        <v>24hr</v>
      </c>
      <c r="O85" s="3" t="str">
        <f>P85&amp;"uM"</f>
        <v>0.1uM</v>
      </c>
      <c r="P85" s="3">
        <v>0.1</v>
      </c>
      <c r="Q85" s="3">
        <v>1</v>
      </c>
      <c r="R85">
        <v>3</v>
      </c>
      <c r="S85" s="3" t="str">
        <f>I85&amp;"_ "&amp;J85&amp;"_ "&amp;N85&amp;"_ "&amp;O85</f>
        <v>RPTEC-TERT1_ CSP_ 24hr_ 0.1uM</v>
      </c>
      <c r="T85" s="3" t="s">
        <v>514</v>
      </c>
      <c r="U85" s="3" t="s">
        <v>515</v>
      </c>
      <c r="V85" s="3">
        <v>4424250</v>
      </c>
      <c r="W85" s="3">
        <v>209.57083984652601</v>
      </c>
      <c r="X85" s="3">
        <v>24</v>
      </c>
    </row>
    <row r="86" spans="1:24" x14ac:dyDescent="0.25">
      <c r="A86" s="3" t="s">
        <v>247</v>
      </c>
      <c r="B86" s="3" t="str">
        <f>H86&amp;"_ "&amp;I86&amp;"_ "&amp;J86&amp;"_ "&amp;N86&amp;"_ "&amp;O86&amp;"_R"&amp;R86</f>
        <v>Human_ RPTEC-Jennings_ CSP_ 24hr_ 0.1uM_R1</v>
      </c>
      <c r="C86" s="3" t="s">
        <v>99</v>
      </c>
      <c r="D86" s="3" t="str">
        <f>C86&amp;"_"&amp;E86</f>
        <v>LEIDEN_TQ_RPTEC_CSP2_G10</v>
      </c>
      <c r="E86" s="3" t="s">
        <v>248</v>
      </c>
      <c r="F86" s="3" t="s">
        <v>669</v>
      </c>
      <c r="G86" s="3" t="s">
        <v>626</v>
      </c>
      <c r="H86" s="3" t="s">
        <v>627</v>
      </c>
      <c r="I86" s="3" t="s">
        <v>628</v>
      </c>
      <c r="J86" s="3" t="s">
        <v>371</v>
      </c>
      <c r="K86" s="3" t="s">
        <v>671</v>
      </c>
      <c r="L86" s="3" t="s">
        <v>371</v>
      </c>
      <c r="M86" s="3">
        <v>24</v>
      </c>
      <c r="N86" s="3" t="str">
        <f>M86&amp;"hr"</f>
        <v>24hr</v>
      </c>
      <c r="O86" s="3" t="str">
        <f>P86&amp;"uM"</f>
        <v>0.1uM</v>
      </c>
      <c r="P86" s="3">
        <v>0.1</v>
      </c>
      <c r="Q86" s="3">
        <v>1</v>
      </c>
      <c r="R86">
        <v>1</v>
      </c>
      <c r="S86" s="3" t="str">
        <f>I86&amp;"_ "&amp;J86&amp;"_ "&amp;N86&amp;"_ "&amp;O86</f>
        <v>RPTEC-Jennings_ CSP_ 24hr_ 0.1uM</v>
      </c>
      <c r="T86" s="3" t="s">
        <v>645</v>
      </c>
      <c r="U86" s="3" t="s">
        <v>646</v>
      </c>
      <c r="V86" s="3">
        <v>3943240</v>
      </c>
      <c r="W86" s="3">
        <v>186.78603571597699</v>
      </c>
      <c r="X86" s="3">
        <v>24</v>
      </c>
    </row>
    <row r="87" spans="1:24" x14ac:dyDescent="0.25">
      <c r="A87" s="3" t="s">
        <v>267</v>
      </c>
      <c r="B87" s="3" t="str">
        <f>H87&amp;"_ "&amp;I87&amp;"_ "&amp;J87&amp;"_ "&amp;N87&amp;"_ "&amp;O87&amp;"_R"&amp;R87</f>
        <v>Human_ RPTEC-Jennings_ CSP_ 24hr_ 0.1uM_R2</v>
      </c>
      <c r="C87" s="3" t="s">
        <v>99</v>
      </c>
      <c r="D87" s="3" t="str">
        <f>C87&amp;"_"&amp;E87</f>
        <v>LEIDEN_TQ_RPTEC_CSP2_H10</v>
      </c>
      <c r="E87" s="3" t="s">
        <v>268</v>
      </c>
      <c r="F87" s="3" t="s">
        <v>669</v>
      </c>
      <c r="G87" s="3" t="s">
        <v>626</v>
      </c>
      <c r="H87" s="3" t="s">
        <v>627</v>
      </c>
      <c r="I87" s="3" t="s">
        <v>628</v>
      </c>
      <c r="J87" s="3" t="s">
        <v>371</v>
      </c>
      <c r="K87" s="3" t="s">
        <v>671</v>
      </c>
      <c r="L87" s="3" t="s">
        <v>371</v>
      </c>
      <c r="M87" s="3">
        <v>24</v>
      </c>
      <c r="N87" s="3" t="str">
        <f>M87&amp;"hr"</f>
        <v>24hr</v>
      </c>
      <c r="O87" s="3" t="str">
        <f>P87&amp;"uM"</f>
        <v>0.1uM</v>
      </c>
      <c r="P87" s="3">
        <v>0.1</v>
      </c>
      <c r="Q87" s="3">
        <v>1</v>
      </c>
      <c r="R87">
        <v>2</v>
      </c>
      <c r="S87" s="3" t="str">
        <f>I87&amp;"_ "&amp;J87&amp;"_ "&amp;N87&amp;"_ "&amp;O87</f>
        <v>RPTEC-Jennings_ CSP_ 24hr_ 0.1uM</v>
      </c>
      <c r="T87" s="3" t="s">
        <v>645</v>
      </c>
      <c r="U87" s="3" t="s">
        <v>657</v>
      </c>
      <c r="V87" s="3">
        <v>4958965</v>
      </c>
      <c r="W87" s="3">
        <v>234.89957841883401</v>
      </c>
      <c r="X87" s="3">
        <v>24</v>
      </c>
    </row>
    <row r="88" spans="1:24" x14ac:dyDescent="0.25">
      <c r="A88" s="3" t="s">
        <v>346</v>
      </c>
      <c r="B88" s="3" t="str">
        <f>H88&amp;"_ "&amp;I88&amp;"_ "&amp;J88&amp;"_ "&amp;N88&amp;"_ "&amp;O88&amp;"_R"&amp;R88</f>
        <v>Human_ RPTEC-Jennings_ CSP_ 24hr_ 0.1uM_R3</v>
      </c>
      <c r="C88" s="3" t="s">
        <v>272</v>
      </c>
      <c r="D88" s="3" t="str">
        <f>C88&amp;"_"&amp;E88</f>
        <v>LEIDEN_TQ_RPTEC_CSP3_G10</v>
      </c>
      <c r="E88" s="3" t="s">
        <v>248</v>
      </c>
      <c r="F88" s="3" t="s">
        <v>670</v>
      </c>
      <c r="G88" s="3" t="s">
        <v>626</v>
      </c>
      <c r="H88" s="3" t="s">
        <v>627</v>
      </c>
      <c r="I88" s="3" t="s">
        <v>628</v>
      </c>
      <c r="J88" s="3" t="s">
        <v>371</v>
      </c>
      <c r="K88" s="3" t="s">
        <v>671</v>
      </c>
      <c r="L88" s="3" t="s">
        <v>371</v>
      </c>
      <c r="M88" s="3">
        <v>24</v>
      </c>
      <c r="N88" s="3" t="str">
        <f>M88&amp;"hr"</f>
        <v>24hr</v>
      </c>
      <c r="O88" s="3" t="str">
        <f>P88&amp;"uM"</f>
        <v>0.1uM</v>
      </c>
      <c r="P88" s="3">
        <v>0.1</v>
      </c>
      <c r="Q88" s="3">
        <v>1</v>
      </c>
      <c r="R88">
        <v>3</v>
      </c>
      <c r="S88" s="3" t="str">
        <f>I88&amp;"_ "&amp;J88&amp;"_ "&amp;N88&amp;"_ "&amp;O88</f>
        <v>RPTEC-Jennings_ CSP_ 24hr_ 0.1uM</v>
      </c>
      <c r="T88" s="3" t="s">
        <v>645</v>
      </c>
      <c r="U88" s="3" t="s">
        <v>666</v>
      </c>
      <c r="V88" s="3">
        <v>3202408</v>
      </c>
      <c r="W88" s="3">
        <v>151.693808914784</v>
      </c>
      <c r="X88" s="3">
        <v>24</v>
      </c>
    </row>
    <row r="89" spans="1:24" x14ac:dyDescent="0.25">
      <c r="A89" s="3" t="s">
        <v>205</v>
      </c>
      <c r="B89" s="3" t="str">
        <f>H89&amp;"_ "&amp;I89&amp;"_ "&amp;J89&amp;"_ "&amp;N89&amp;"_ "&amp;O89&amp;"_R"&amp;R89</f>
        <v>Human_ RPTEC-TERT1_ CSP_ 24hr_ 0.5uM_R1</v>
      </c>
      <c r="C89" s="3" t="s">
        <v>99</v>
      </c>
      <c r="D89" s="3" t="str">
        <f>C89&amp;"_"&amp;E89</f>
        <v>LEIDEN_TQ_RPTEC_CSP2_D09</v>
      </c>
      <c r="E89" s="3" t="s">
        <v>114</v>
      </c>
      <c r="F89" s="3" t="s">
        <v>669</v>
      </c>
      <c r="G89" s="3" t="s">
        <v>626</v>
      </c>
      <c r="H89" s="3" t="s">
        <v>627</v>
      </c>
      <c r="I89" s="3" t="s">
        <v>350</v>
      </c>
      <c r="J89" s="3" t="s">
        <v>371</v>
      </c>
      <c r="K89" s="3" t="s">
        <v>671</v>
      </c>
      <c r="L89" s="3" t="s">
        <v>371</v>
      </c>
      <c r="M89" s="3">
        <v>24</v>
      </c>
      <c r="N89" s="3" t="str">
        <f>M89&amp;"hr"</f>
        <v>24hr</v>
      </c>
      <c r="O89" s="3" t="str">
        <f>P89&amp;"uM"</f>
        <v>0.5uM</v>
      </c>
      <c r="P89" s="3">
        <v>0.5</v>
      </c>
      <c r="Q89" s="3">
        <v>2</v>
      </c>
      <c r="R89">
        <v>1</v>
      </c>
      <c r="S89" s="3" t="str">
        <f>I89&amp;"_ "&amp;J89&amp;"_ "&amp;N89&amp;"_ "&amp;O89</f>
        <v>RPTEC-TERT1_ CSP_ 24hr_ 0.5uM</v>
      </c>
      <c r="T89" s="3" t="s">
        <v>512</v>
      </c>
      <c r="U89" s="3" t="s">
        <v>513</v>
      </c>
      <c r="V89" s="3">
        <v>3145099</v>
      </c>
      <c r="W89" s="3">
        <v>148.979157785041</v>
      </c>
      <c r="X89" s="3">
        <v>24</v>
      </c>
    </row>
    <row r="90" spans="1:24" x14ac:dyDescent="0.25">
      <c r="A90" s="3" t="s">
        <v>216</v>
      </c>
      <c r="B90" s="3" t="str">
        <f>H90&amp;"_ "&amp;I90&amp;"_ "&amp;J90&amp;"_ "&amp;N90&amp;"_ "&amp;O90&amp;"_R"&amp;R90</f>
        <v>Human_ RPTEC-TERT1_ CSP_ 24hr_ 0.5uM_R2</v>
      </c>
      <c r="C90" s="3" t="s">
        <v>99</v>
      </c>
      <c r="D90" s="3" t="str">
        <f>C90&amp;"_"&amp;E90</f>
        <v>LEIDEN_TQ_RPTEC_CSP2_E09</v>
      </c>
      <c r="E90" s="3" t="s">
        <v>136</v>
      </c>
      <c r="F90" s="3" t="s">
        <v>669</v>
      </c>
      <c r="G90" s="3" t="s">
        <v>626</v>
      </c>
      <c r="H90" s="3" t="s">
        <v>627</v>
      </c>
      <c r="I90" s="3" t="s">
        <v>350</v>
      </c>
      <c r="J90" s="3" t="s">
        <v>371</v>
      </c>
      <c r="K90" s="3" t="s">
        <v>671</v>
      </c>
      <c r="L90" s="3" t="s">
        <v>371</v>
      </c>
      <c r="M90" s="3">
        <v>24</v>
      </c>
      <c r="N90" s="3" t="str">
        <f>M90&amp;"hr"</f>
        <v>24hr</v>
      </c>
      <c r="O90" s="3" t="str">
        <f>P90&amp;"uM"</f>
        <v>0.5uM</v>
      </c>
      <c r="P90" s="3">
        <v>0.5</v>
      </c>
      <c r="Q90" s="3">
        <v>2</v>
      </c>
      <c r="R90">
        <v>2</v>
      </c>
      <c r="S90" s="3" t="str">
        <f>I90&amp;"_ "&amp;J90&amp;"_ "&amp;N90&amp;"_ "&amp;O90</f>
        <v>RPTEC-TERT1_ CSP_ 24hr_ 0.5uM</v>
      </c>
      <c r="T90" s="3" t="s">
        <v>512</v>
      </c>
      <c r="U90" s="3" t="s">
        <v>526</v>
      </c>
      <c r="V90" s="3">
        <v>2977112</v>
      </c>
      <c r="W90" s="3">
        <v>141.02183695703701</v>
      </c>
      <c r="X90" s="3">
        <v>24</v>
      </c>
    </row>
    <row r="91" spans="1:24" x14ac:dyDescent="0.25">
      <c r="A91" s="3" t="s">
        <v>227</v>
      </c>
      <c r="B91" s="3" t="str">
        <f>H91&amp;"_ "&amp;I91&amp;"_ "&amp;J91&amp;"_ "&amp;N91&amp;"_ "&amp;O91&amp;"_R"&amp;R91</f>
        <v>Human_ RPTEC-TERT1_ CSP_ 24hr_ 0.5uM_R3</v>
      </c>
      <c r="C91" s="3" t="s">
        <v>99</v>
      </c>
      <c r="D91" s="3" t="str">
        <f>C91&amp;"_"&amp;E91</f>
        <v>LEIDEN_TQ_RPTEC_CSP2_F09</v>
      </c>
      <c r="E91" s="3" t="s">
        <v>158</v>
      </c>
      <c r="F91" s="3" t="s">
        <v>669</v>
      </c>
      <c r="G91" s="3" t="s">
        <v>626</v>
      </c>
      <c r="H91" s="3" t="s">
        <v>627</v>
      </c>
      <c r="I91" s="3" t="s">
        <v>350</v>
      </c>
      <c r="J91" s="3" t="s">
        <v>371</v>
      </c>
      <c r="K91" s="3" t="s">
        <v>671</v>
      </c>
      <c r="L91" s="3" t="s">
        <v>371</v>
      </c>
      <c r="M91" s="3">
        <v>24</v>
      </c>
      <c r="N91" s="3" t="str">
        <f>M91&amp;"hr"</f>
        <v>24hr</v>
      </c>
      <c r="O91" s="3" t="str">
        <f>P91&amp;"uM"</f>
        <v>0.5uM</v>
      </c>
      <c r="P91" s="3">
        <v>0.5</v>
      </c>
      <c r="Q91" s="3">
        <v>2</v>
      </c>
      <c r="R91">
        <v>3</v>
      </c>
      <c r="S91" s="3" t="str">
        <f>I91&amp;"_ "&amp;J91&amp;"_ "&amp;N91&amp;"_ "&amp;O91</f>
        <v>RPTEC-TERT1_ CSP_ 24hr_ 0.5uM</v>
      </c>
      <c r="T91" s="3" t="s">
        <v>512</v>
      </c>
      <c r="U91" s="3" t="s">
        <v>537</v>
      </c>
      <c r="V91" s="3">
        <v>3050310</v>
      </c>
      <c r="W91" s="3">
        <v>144.48912889015199</v>
      </c>
      <c r="X91" s="3">
        <v>24</v>
      </c>
    </row>
    <row r="92" spans="1:24" x14ac:dyDescent="0.25">
      <c r="A92" s="3" t="s">
        <v>245</v>
      </c>
      <c r="B92" s="3" t="str">
        <f>H92&amp;"_ "&amp;I92&amp;"_ "&amp;J92&amp;"_ "&amp;N92&amp;"_ "&amp;O92&amp;"_R"&amp;R92</f>
        <v>Human_ RPTEC-Jennings_ CSP_ 24hr_ 0.5uM_R1</v>
      </c>
      <c r="C92" s="3" t="s">
        <v>99</v>
      </c>
      <c r="D92" s="3" t="str">
        <f>C92&amp;"_"&amp;E92</f>
        <v>LEIDEN_TQ_RPTEC_CSP2_G09</v>
      </c>
      <c r="E92" s="3" t="s">
        <v>246</v>
      </c>
      <c r="F92" s="3" t="s">
        <v>669</v>
      </c>
      <c r="G92" s="3" t="s">
        <v>626</v>
      </c>
      <c r="H92" s="3" t="s">
        <v>627</v>
      </c>
      <c r="I92" s="3" t="s">
        <v>628</v>
      </c>
      <c r="J92" s="3" t="s">
        <v>371</v>
      </c>
      <c r="K92" s="3" t="s">
        <v>671</v>
      </c>
      <c r="L92" s="3" t="s">
        <v>371</v>
      </c>
      <c r="M92" s="3">
        <v>24</v>
      </c>
      <c r="N92" s="3" t="str">
        <f>M92&amp;"hr"</f>
        <v>24hr</v>
      </c>
      <c r="O92" s="3" t="str">
        <f>P92&amp;"uM"</f>
        <v>0.5uM</v>
      </c>
      <c r="P92" s="3">
        <v>0.5</v>
      </c>
      <c r="Q92" s="3">
        <v>2</v>
      </c>
      <c r="R92">
        <v>1</v>
      </c>
      <c r="S92" s="3" t="str">
        <f>I92&amp;"_ "&amp;J92&amp;"_ "&amp;N92&amp;"_ "&amp;O92</f>
        <v>RPTEC-Jennings_ CSP_ 24hr_ 0.5uM</v>
      </c>
      <c r="T92" s="3" t="s">
        <v>643</v>
      </c>
      <c r="U92" s="3" t="s">
        <v>644</v>
      </c>
      <c r="V92" s="3">
        <v>2757228</v>
      </c>
      <c r="W92" s="3">
        <v>130.606224243285</v>
      </c>
      <c r="X92" s="3">
        <v>24</v>
      </c>
    </row>
    <row r="93" spans="1:24" x14ac:dyDescent="0.25">
      <c r="A93" s="3" t="s">
        <v>265</v>
      </c>
      <c r="B93" s="3" t="str">
        <f>H93&amp;"_ "&amp;I93&amp;"_ "&amp;J93&amp;"_ "&amp;N93&amp;"_ "&amp;O93&amp;"_R"&amp;R93</f>
        <v>Human_ RPTEC-Jennings_ CSP_ 24hr_ 0.5uM_R2</v>
      </c>
      <c r="C93" s="3" t="s">
        <v>99</v>
      </c>
      <c r="D93" s="3" t="str">
        <f>C93&amp;"_"&amp;E93</f>
        <v>LEIDEN_TQ_RPTEC_CSP2_H09</v>
      </c>
      <c r="E93" s="3" t="s">
        <v>266</v>
      </c>
      <c r="F93" s="3" t="s">
        <v>669</v>
      </c>
      <c r="G93" s="3" t="s">
        <v>626</v>
      </c>
      <c r="H93" s="3" t="s">
        <v>627</v>
      </c>
      <c r="I93" s="3" t="s">
        <v>628</v>
      </c>
      <c r="J93" s="3" t="s">
        <v>371</v>
      </c>
      <c r="K93" s="3" t="s">
        <v>671</v>
      </c>
      <c r="L93" s="3" t="s">
        <v>371</v>
      </c>
      <c r="M93" s="3">
        <v>24</v>
      </c>
      <c r="N93" s="3" t="str">
        <f>M93&amp;"hr"</f>
        <v>24hr</v>
      </c>
      <c r="O93" s="3" t="str">
        <f>P93&amp;"uM"</f>
        <v>0.5uM</v>
      </c>
      <c r="P93" s="3">
        <v>0.5</v>
      </c>
      <c r="Q93" s="3">
        <v>2</v>
      </c>
      <c r="R93">
        <v>2</v>
      </c>
      <c r="S93" s="3" t="str">
        <f>I93&amp;"_ "&amp;J93&amp;"_ "&amp;N93&amp;"_ "&amp;O93</f>
        <v>RPTEC-Jennings_ CSP_ 24hr_ 0.5uM</v>
      </c>
      <c r="T93" s="3" t="s">
        <v>643</v>
      </c>
      <c r="U93" s="3" t="s">
        <v>656</v>
      </c>
      <c r="V93" s="3">
        <v>4497548</v>
      </c>
      <c r="W93" s="3">
        <v>213.04286864667699</v>
      </c>
      <c r="X93" s="3">
        <v>24</v>
      </c>
    </row>
    <row r="94" spans="1:24" x14ac:dyDescent="0.25">
      <c r="A94" s="3" t="s">
        <v>345</v>
      </c>
      <c r="B94" s="3" t="str">
        <f>H94&amp;"_ "&amp;I94&amp;"_ "&amp;J94&amp;"_ "&amp;N94&amp;"_ "&amp;O94&amp;"_R"&amp;R94</f>
        <v>Human_ RPTEC-Jennings_ CSP_ 24hr_ 0.5uM_R3</v>
      </c>
      <c r="C94" s="3" t="s">
        <v>272</v>
      </c>
      <c r="D94" s="3" t="str">
        <f>C94&amp;"_"&amp;E94</f>
        <v>LEIDEN_TQ_RPTEC_CSP3_G09</v>
      </c>
      <c r="E94" s="3" t="s">
        <v>246</v>
      </c>
      <c r="F94" s="3" t="s">
        <v>670</v>
      </c>
      <c r="G94" s="3" t="s">
        <v>626</v>
      </c>
      <c r="H94" s="3" t="s">
        <v>627</v>
      </c>
      <c r="I94" s="3" t="s">
        <v>628</v>
      </c>
      <c r="J94" s="3" t="s">
        <v>371</v>
      </c>
      <c r="K94" s="3" t="s">
        <v>671</v>
      </c>
      <c r="L94" s="3" t="s">
        <v>371</v>
      </c>
      <c r="M94" s="3">
        <v>24</v>
      </c>
      <c r="N94" s="3" t="str">
        <f>M94&amp;"hr"</f>
        <v>24hr</v>
      </c>
      <c r="O94" s="3" t="str">
        <f>P94&amp;"uM"</f>
        <v>0.5uM</v>
      </c>
      <c r="P94" s="3">
        <v>0.5</v>
      </c>
      <c r="Q94" s="3">
        <v>2</v>
      </c>
      <c r="R94">
        <v>3</v>
      </c>
      <c r="S94" s="3" t="str">
        <f>I94&amp;"_ "&amp;J94&amp;"_ "&amp;N94&amp;"_ "&amp;O94</f>
        <v>RPTEC-Jennings_ CSP_ 24hr_ 0.5uM</v>
      </c>
      <c r="T94" s="3" t="s">
        <v>643</v>
      </c>
      <c r="U94" s="3" t="s">
        <v>665</v>
      </c>
      <c r="V94" s="3">
        <v>3246444</v>
      </c>
      <c r="W94" s="3">
        <v>153.77973568281899</v>
      </c>
      <c r="X94" s="3">
        <v>24</v>
      </c>
    </row>
    <row r="95" spans="1:24" x14ac:dyDescent="0.25">
      <c r="A95" s="3" t="s">
        <v>263</v>
      </c>
      <c r="B95" s="3" t="str">
        <f>H95&amp;"_ "&amp;I95&amp;"_ "&amp;J95&amp;"_ "&amp;N95&amp;"_ "&amp;O95&amp;"_R"&amp;R95</f>
        <v>Human_ RPTEC-Jennings_ CSP_ 24hr_ 1uM_R2</v>
      </c>
      <c r="C95" s="3" t="s">
        <v>99</v>
      </c>
      <c r="D95" s="3" t="str">
        <f>C95&amp;"_"&amp;E95</f>
        <v>LEIDEN_TQ_RPTEC_CSP2_H08</v>
      </c>
      <c r="E95" s="3" t="s">
        <v>264</v>
      </c>
      <c r="F95" s="3" t="s">
        <v>669</v>
      </c>
      <c r="G95" s="3" t="s">
        <v>626</v>
      </c>
      <c r="H95" s="3" t="s">
        <v>627</v>
      </c>
      <c r="I95" s="3" t="s">
        <v>628</v>
      </c>
      <c r="J95" s="3" t="s">
        <v>371</v>
      </c>
      <c r="K95" s="3" t="s">
        <v>671</v>
      </c>
      <c r="L95" s="3" t="s">
        <v>371</v>
      </c>
      <c r="M95" s="3">
        <v>24</v>
      </c>
      <c r="N95" s="3" t="str">
        <f>M95&amp;"hr"</f>
        <v>24hr</v>
      </c>
      <c r="O95" s="3" t="str">
        <f>P95&amp;"uM"</f>
        <v>1uM</v>
      </c>
      <c r="P95" s="3">
        <v>1</v>
      </c>
      <c r="Q95" s="3">
        <v>3</v>
      </c>
      <c r="R95">
        <v>2</v>
      </c>
      <c r="S95" s="3" t="str">
        <f>I95&amp;"_ "&amp;J95&amp;"_ "&amp;N95&amp;"_ "&amp;O95</f>
        <v>RPTEC-Jennings_ CSP_ 24hr_ 1uM</v>
      </c>
      <c r="T95" s="3" t="s">
        <v>641</v>
      </c>
      <c r="U95" s="3" t="s">
        <v>655</v>
      </c>
      <c r="V95" s="3">
        <v>4825309</v>
      </c>
      <c r="W95" s="3">
        <v>228.56847141300699</v>
      </c>
      <c r="X95" s="3">
        <v>24</v>
      </c>
    </row>
    <row r="96" spans="1:24" x14ac:dyDescent="0.25">
      <c r="A96" s="3" t="s">
        <v>204</v>
      </c>
      <c r="B96" s="3" t="str">
        <f>H96&amp;"_ "&amp;I96&amp;"_ "&amp;J96&amp;"_ "&amp;N96&amp;"_ "&amp;O96&amp;"_R"&amp;R96</f>
        <v>Human_ RPTEC-TERT1_ CSP_ 24hr_ 1uM_R1</v>
      </c>
      <c r="C96" s="3" t="s">
        <v>99</v>
      </c>
      <c r="D96" s="3" t="str">
        <f>C96&amp;"_"&amp;E96</f>
        <v>LEIDEN_TQ_RPTEC_CSP2_D08</v>
      </c>
      <c r="E96" s="3" t="s">
        <v>112</v>
      </c>
      <c r="F96" s="3" t="s">
        <v>669</v>
      </c>
      <c r="G96" s="3" t="s">
        <v>626</v>
      </c>
      <c r="H96" s="3" t="s">
        <v>627</v>
      </c>
      <c r="I96" s="3" t="s">
        <v>350</v>
      </c>
      <c r="J96" s="3" t="s">
        <v>371</v>
      </c>
      <c r="K96" s="3" t="s">
        <v>671</v>
      </c>
      <c r="L96" s="3" t="s">
        <v>371</v>
      </c>
      <c r="M96" s="3">
        <v>24</v>
      </c>
      <c r="N96" s="3" t="str">
        <f>M96&amp;"hr"</f>
        <v>24hr</v>
      </c>
      <c r="O96" s="3" t="str">
        <f>P96&amp;"uM"</f>
        <v>1uM</v>
      </c>
      <c r="P96" s="3">
        <v>1</v>
      </c>
      <c r="Q96" s="3">
        <v>3</v>
      </c>
      <c r="R96">
        <v>1</v>
      </c>
      <c r="S96" s="3" t="str">
        <f>I96&amp;"_ "&amp;J96&amp;"_ "&amp;N96&amp;"_ "&amp;O96</f>
        <v>RPTEC-TERT1_ CSP_ 24hr_ 1uM</v>
      </c>
      <c r="T96" s="3" t="s">
        <v>510</v>
      </c>
      <c r="U96" s="3" t="s">
        <v>511</v>
      </c>
      <c r="V96" s="3">
        <v>3368323</v>
      </c>
      <c r="W96" s="3">
        <v>159.55298185779901</v>
      </c>
      <c r="X96" s="3">
        <v>24</v>
      </c>
    </row>
    <row r="97" spans="1:24" x14ac:dyDescent="0.25">
      <c r="A97" s="3" t="s">
        <v>215</v>
      </c>
      <c r="B97" s="3" t="str">
        <f>H97&amp;"_ "&amp;I97&amp;"_ "&amp;J97&amp;"_ "&amp;N97&amp;"_ "&amp;O97&amp;"_R"&amp;R97</f>
        <v>Human_ RPTEC-TERT1_ CSP_ 24hr_ 1uM_R2</v>
      </c>
      <c r="C97" s="3" t="s">
        <v>99</v>
      </c>
      <c r="D97" s="3" t="str">
        <f>C97&amp;"_"&amp;E97</f>
        <v>LEIDEN_TQ_RPTEC_CSP2_E08</v>
      </c>
      <c r="E97" s="3" t="s">
        <v>134</v>
      </c>
      <c r="F97" s="3" t="s">
        <v>669</v>
      </c>
      <c r="G97" s="3" t="s">
        <v>626</v>
      </c>
      <c r="H97" s="3" t="s">
        <v>627</v>
      </c>
      <c r="I97" s="3" t="s">
        <v>350</v>
      </c>
      <c r="J97" s="3" t="s">
        <v>371</v>
      </c>
      <c r="K97" s="3" t="s">
        <v>671</v>
      </c>
      <c r="L97" s="3" t="s">
        <v>371</v>
      </c>
      <c r="M97" s="3">
        <v>24</v>
      </c>
      <c r="N97" s="3" t="str">
        <f>M97&amp;"hr"</f>
        <v>24hr</v>
      </c>
      <c r="O97" s="3" t="str">
        <f>P97&amp;"uM"</f>
        <v>1uM</v>
      </c>
      <c r="P97" s="3">
        <v>1</v>
      </c>
      <c r="Q97" s="3">
        <v>3</v>
      </c>
      <c r="R97">
        <v>2</v>
      </c>
      <c r="S97" s="3" t="str">
        <f>I97&amp;"_ "&amp;J97&amp;"_ "&amp;N97&amp;"_ "&amp;O97</f>
        <v>RPTEC-TERT1_ CSP_ 24hr_ 1uM</v>
      </c>
      <c r="T97" s="3" t="s">
        <v>510</v>
      </c>
      <c r="U97" s="3" t="s">
        <v>525</v>
      </c>
      <c r="V97" s="3">
        <v>3250357</v>
      </c>
      <c r="W97" s="3">
        <v>153.96508928994399</v>
      </c>
      <c r="X97" s="3">
        <v>24</v>
      </c>
    </row>
    <row r="98" spans="1:24" x14ac:dyDescent="0.25">
      <c r="A98" s="3" t="s">
        <v>226</v>
      </c>
      <c r="B98" s="3" t="str">
        <f>H98&amp;"_ "&amp;I98&amp;"_ "&amp;J98&amp;"_ "&amp;N98&amp;"_ "&amp;O98&amp;"_R"&amp;R98</f>
        <v>Human_ RPTEC-TERT1_ CSP_ 24hr_ 1uM_R3</v>
      </c>
      <c r="C98" s="3" t="s">
        <v>99</v>
      </c>
      <c r="D98" s="3" t="str">
        <f>C98&amp;"_"&amp;E98</f>
        <v>LEIDEN_TQ_RPTEC_CSP2_F08</v>
      </c>
      <c r="E98" s="3" t="s">
        <v>156</v>
      </c>
      <c r="F98" s="3" t="s">
        <v>669</v>
      </c>
      <c r="G98" s="3" t="s">
        <v>626</v>
      </c>
      <c r="H98" s="3" t="s">
        <v>627</v>
      </c>
      <c r="I98" s="3" t="s">
        <v>350</v>
      </c>
      <c r="J98" s="3" t="s">
        <v>371</v>
      </c>
      <c r="K98" s="3" t="s">
        <v>671</v>
      </c>
      <c r="L98" s="3" t="s">
        <v>371</v>
      </c>
      <c r="M98" s="3">
        <v>24</v>
      </c>
      <c r="N98" s="3" t="str">
        <f>M98&amp;"hr"</f>
        <v>24hr</v>
      </c>
      <c r="O98" s="3" t="str">
        <f>P98&amp;"uM"</f>
        <v>1uM</v>
      </c>
      <c r="P98" s="3">
        <v>1</v>
      </c>
      <c r="Q98" s="3">
        <v>3</v>
      </c>
      <c r="R98">
        <v>3</v>
      </c>
      <c r="S98" s="3" t="str">
        <f>I98&amp;"_ "&amp;J98&amp;"_ "&amp;N98&amp;"_ "&amp;O98</f>
        <v>RPTEC-TERT1_ CSP_ 24hr_ 1uM</v>
      </c>
      <c r="T98" s="3" t="s">
        <v>510</v>
      </c>
      <c r="U98" s="3" t="s">
        <v>536</v>
      </c>
      <c r="V98" s="3">
        <v>3335165</v>
      </c>
      <c r="W98" s="3">
        <v>157.982331485955</v>
      </c>
      <c r="X98" s="3">
        <v>24</v>
      </c>
    </row>
    <row r="99" spans="1:24" x14ac:dyDescent="0.25">
      <c r="A99" s="3" t="s">
        <v>243</v>
      </c>
      <c r="B99" s="3" t="str">
        <f>H99&amp;"_ "&amp;I99&amp;"_ "&amp;J99&amp;"_ "&amp;N99&amp;"_ "&amp;O99&amp;"_R"&amp;R99</f>
        <v>Human_ RPTEC-Jennings_ CSP_ 24hr_ 1uM_R1</v>
      </c>
      <c r="C99" s="3" t="s">
        <v>99</v>
      </c>
      <c r="D99" s="3" t="str">
        <f>C99&amp;"_"&amp;E99</f>
        <v>LEIDEN_TQ_RPTEC_CSP2_G08</v>
      </c>
      <c r="E99" s="3" t="s">
        <v>244</v>
      </c>
      <c r="F99" s="3" t="s">
        <v>669</v>
      </c>
      <c r="G99" s="3" t="s">
        <v>626</v>
      </c>
      <c r="H99" s="3" t="s">
        <v>627</v>
      </c>
      <c r="I99" s="3" t="s">
        <v>628</v>
      </c>
      <c r="J99" s="3" t="s">
        <v>371</v>
      </c>
      <c r="K99" s="3" t="s">
        <v>671</v>
      </c>
      <c r="L99" s="3" t="s">
        <v>371</v>
      </c>
      <c r="M99" s="3">
        <v>24</v>
      </c>
      <c r="N99" s="3" t="str">
        <f>M99&amp;"hr"</f>
        <v>24hr</v>
      </c>
      <c r="O99" s="3" t="str">
        <f>P99&amp;"uM"</f>
        <v>1uM</v>
      </c>
      <c r="P99" s="3">
        <v>1</v>
      </c>
      <c r="Q99" s="3">
        <v>3</v>
      </c>
      <c r="R99">
        <v>1</v>
      </c>
      <c r="S99" s="3" t="str">
        <f>I99&amp;"_ "&amp;J99&amp;"_ "&amp;N99&amp;"_ "&amp;O99</f>
        <v>RPTEC-Jennings_ CSP_ 24hr_ 1uM</v>
      </c>
      <c r="T99" s="3" t="s">
        <v>641</v>
      </c>
      <c r="U99" s="3" t="s">
        <v>642</v>
      </c>
      <c r="V99" s="3">
        <v>3284913</v>
      </c>
      <c r="W99" s="3">
        <v>155.601961062953</v>
      </c>
      <c r="X99" s="3">
        <v>24</v>
      </c>
    </row>
    <row r="100" spans="1:24" x14ac:dyDescent="0.25">
      <c r="A100" s="3" t="s">
        <v>344</v>
      </c>
      <c r="B100" s="3" t="str">
        <f>H100&amp;"_ "&amp;I100&amp;"_ "&amp;J100&amp;"_ "&amp;N100&amp;"_ "&amp;O100&amp;"_R"&amp;R100</f>
        <v>Human_ RPTEC-Jennings_ CSP_ 24hr_ 1uM_R3</v>
      </c>
      <c r="C100" s="3" t="s">
        <v>272</v>
      </c>
      <c r="D100" s="3" t="str">
        <f>C100&amp;"_"&amp;E100</f>
        <v>LEIDEN_TQ_RPTEC_CSP3_G08</v>
      </c>
      <c r="E100" s="3" t="s">
        <v>244</v>
      </c>
      <c r="F100" s="3" t="s">
        <v>670</v>
      </c>
      <c r="G100" s="3" t="s">
        <v>626</v>
      </c>
      <c r="H100" s="3" t="s">
        <v>627</v>
      </c>
      <c r="I100" s="3" t="s">
        <v>628</v>
      </c>
      <c r="J100" s="3" t="s">
        <v>371</v>
      </c>
      <c r="K100" s="3" t="s">
        <v>671</v>
      </c>
      <c r="L100" s="3" t="s">
        <v>371</v>
      </c>
      <c r="M100" s="3">
        <v>24</v>
      </c>
      <c r="N100" s="3" t="str">
        <f>M100&amp;"hr"</f>
        <v>24hr</v>
      </c>
      <c r="O100" s="3" t="str">
        <f>P100&amp;"uM"</f>
        <v>1uM</v>
      </c>
      <c r="P100" s="3">
        <v>1</v>
      </c>
      <c r="Q100" s="3">
        <v>3</v>
      </c>
      <c r="R100">
        <v>3</v>
      </c>
      <c r="S100" s="3" t="str">
        <f>I100&amp;"_ "&amp;J100&amp;"_ "&amp;N100&amp;"_ "&amp;O100</f>
        <v>RPTEC-Jennings_ CSP_ 24hr_ 1uM</v>
      </c>
      <c r="T100" s="3" t="s">
        <v>641</v>
      </c>
      <c r="U100" s="3" t="s">
        <v>655</v>
      </c>
      <c r="V100" s="3">
        <v>4513203</v>
      </c>
      <c r="W100" s="3">
        <v>213.78442518118499</v>
      </c>
      <c r="X100" s="3">
        <v>24</v>
      </c>
    </row>
    <row r="101" spans="1:24" x14ac:dyDescent="0.25">
      <c r="A101" s="3" t="s">
        <v>203</v>
      </c>
      <c r="B101" s="3" t="str">
        <f>H101&amp;"_ "&amp;I101&amp;"_ "&amp;J101&amp;"_ "&amp;N101&amp;"_ "&amp;O101&amp;"_R"&amp;R101</f>
        <v>Human_ RPTEC-TERT1_ CSP_ 24hr_ 2.5uM_R1</v>
      </c>
      <c r="C101" s="3" t="s">
        <v>99</v>
      </c>
      <c r="D101" s="3" t="str">
        <f>C101&amp;"_"&amp;E101</f>
        <v>LEIDEN_TQ_RPTEC_CSP2_D07</v>
      </c>
      <c r="E101" s="3" t="s">
        <v>110</v>
      </c>
      <c r="F101" s="3" t="s">
        <v>669</v>
      </c>
      <c r="G101" s="3" t="s">
        <v>626</v>
      </c>
      <c r="H101" s="3" t="s">
        <v>627</v>
      </c>
      <c r="I101" s="3" t="s">
        <v>350</v>
      </c>
      <c r="J101" s="3" t="s">
        <v>371</v>
      </c>
      <c r="K101" s="3" t="s">
        <v>671</v>
      </c>
      <c r="L101" s="3" t="s">
        <v>371</v>
      </c>
      <c r="M101" s="3">
        <v>24</v>
      </c>
      <c r="N101" s="3" t="str">
        <f>M101&amp;"hr"</f>
        <v>24hr</v>
      </c>
      <c r="O101" s="3" t="str">
        <f>P101&amp;"uM"</f>
        <v>2.5uM</v>
      </c>
      <c r="P101" s="3">
        <v>2.5</v>
      </c>
      <c r="Q101" s="3">
        <v>4</v>
      </c>
      <c r="R101">
        <v>1</v>
      </c>
      <c r="S101" s="3" t="str">
        <f>I101&amp;"_ "&amp;J101&amp;"_ "&amp;N101&amp;"_ "&amp;O101</f>
        <v>RPTEC-TERT1_ CSP_ 24hr_ 2.5uM</v>
      </c>
      <c r="T101" s="3" t="s">
        <v>508</v>
      </c>
      <c r="U101" s="3" t="s">
        <v>509</v>
      </c>
      <c r="V101" s="3">
        <v>3925092</v>
      </c>
      <c r="W101" s="3">
        <v>185.92638908625801</v>
      </c>
      <c r="X101" s="3">
        <v>24</v>
      </c>
    </row>
    <row r="102" spans="1:24" x14ac:dyDescent="0.25">
      <c r="A102" s="3" t="s">
        <v>214</v>
      </c>
      <c r="B102" s="3" t="str">
        <f>H102&amp;"_ "&amp;I102&amp;"_ "&amp;J102&amp;"_ "&amp;N102&amp;"_ "&amp;O102&amp;"_R"&amp;R102</f>
        <v>Human_ RPTEC-TERT1_ CSP_ 24hr_ 2.5uM_R2</v>
      </c>
      <c r="C102" s="3" t="s">
        <v>99</v>
      </c>
      <c r="D102" s="3" t="str">
        <f>C102&amp;"_"&amp;E102</f>
        <v>LEIDEN_TQ_RPTEC_CSP2_E07</v>
      </c>
      <c r="E102" s="3" t="s">
        <v>132</v>
      </c>
      <c r="F102" s="3" t="s">
        <v>669</v>
      </c>
      <c r="G102" s="3" t="s">
        <v>626</v>
      </c>
      <c r="H102" s="3" t="s">
        <v>627</v>
      </c>
      <c r="I102" s="3" t="s">
        <v>350</v>
      </c>
      <c r="J102" s="3" t="s">
        <v>371</v>
      </c>
      <c r="K102" s="3" t="s">
        <v>671</v>
      </c>
      <c r="L102" s="3" t="s">
        <v>371</v>
      </c>
      <c r="M102" s="3">
        <v>24</v>
      </c>
      <c r="N102" s="3" t="str">
        <f>M102&amp;"hr"</f>
        <v>24hr</v>
      </c>
      <c r="O102" s="3" t="str">
        <f>P102&amp;"uM"</f>
        <v>2.5uM</v>
      </c>
      <c r="P102" s="3">
        <v>2.5</v>
      </c>
      <c r="Q102" s="3">
        <v>4</v>
      </c>
      <c r="R102">
        <v>2</v>
      </c>
      <c r="S102" s="3" t="str">
        <f>I102&amp;"_ "&amp;J102&amp;"_ "&amp;N102&amp;"_ "&amp;O102</f>
        <v>RPTEC-TERT1_ CSP_ 24hr_ 2.5uM</v>
      </c>
      <c r="T102" s="3" t="s">
        <v>508</v>
      </c>
      <c r="U102" s="3" t="s">
        <v>524</v>
      </c>
      <c r="V102" s="3">
        <v>3816396</v>
      </c>
      <c r="W102" s="3">
        <v>180.77760409265301</v>
      </c>
      <c r="X102" s="3">
        <v>24</v>
      </c>
    </row>
    <row r="103" spans="1:24" x14ac:dyDescent="0.25">
      <c r="A103" s="3" t="s">
        <v>225</v>
      </c>
      <c r="B103" s="3" t="str">
        <f>H103&amp;"_ "&amp;I103&amp;"_ "&amp;J103&amp;"_ "&amp;N103&amp;"_ "&amp;O103&amp;"_R"&amp;R103</f>
        <v>Human_ RPTEC-TERT1_ CSP_ 24hr_ 2.5uM_R3</v>
      </c>
      <c r="C103" s="3" t="s">
        <v>99</v>
      </c>
      <c r="D103" s="3" t="str">
        <f>C103&amp;"_"&amp;E103</f>
        <v>LEIDEN_TQ_RPTEC_CSP2_F07</v>
      </c>
      <c r="E103" s="3" t="s">
        <v>154</v>
      </c>
      <c r="F103" s="3" t="s">
        <v>669</v>
      </c>
      <c r="G103" s="3" t="s">
        <v>626</v>
      </c>
      <c r="H103" s="3" t="s">
        <v>627</v>
      </c>
      <c r="I103" s="3" t="s">
        <v>350</v>
      </c>
      <c r="J103" s="3" t="s">
        <v>371</v>
      </c>
      <c r="K103" s="3" t="s">
        <v>671</v>
      </c>
      <c r="L103" s="3" t="s">
        <v>371</v>
      </c>
      <c r="M103" s="3">
        <v>24</v>
      </c>
      <c r="N103" s="3" t="str">
        <f>M103&amp;"hr"</f>
        <v>24hr</v>
      </c>
      <c r="O103" s="3" t="str">
        <f>P103&amp;"uM"</f>
        <v>2.5uM</v>
      </c>
      <c r="P103" s="3">
        <v>2.5</v>
      </c>
      <c r="Q103" s="3">
        <v>4</v>
      </c>
      <c r="R103">
        <v>3</v>
      </c>
      <c r="S103" s="3" t="str">
        <f>I103&amp;"_ "&amp;J103&amp;"_ "&amp;N103&amp;"_ "&amp;O103</f>
        <v>RPTEC-TERT1_ CSP_ 24hr_ 2.5uM</v>
      </c>
      <c r="T103" s="3" t="s">
        <v>508</v>
      </c>
      <c r="U103" s="3" t="s">
        <v>535</v>
      </c>
      <c r="V103" s="3">
        <v>3483187</v>
      </c>
      <c r="W103" s="3">
        <v>164.99393681019399</v>
      </c>
      <c r="X103" s="3">
        <v>24</v>
      </c>
    </row>
    <row r="104" spans="1:24" x14ac:dyDescent="0.25">
      <c r="A104" s="3" t="s">
        <v>241</v>
      </c>
      <c r="B104" s="3" t="str">
        <f>H104&amp;"_ "&amp;I104&amp;"_ "&amp;J104&amp;"_ "&amp;N104&amp;"_ "&amp;O104&amp;"_R"&amp;R104</f>
        <v>Human_ RPTEC-Jennings_ CSP_ 24hr_ 2.5uM_R1</v>
      </c>
      <c r="C104" s="3" t="s">
        <v>99</v>
      </c>
      <c r="D104" s="3" t="str">
        <f>C104&amp;"_"&amp;E104</f>
        <v>LEIDEN_TQ_RPTEC_CSP2_G07</v>
      </c>
      <c r="E104" s="3" t="s">
        <v>242</v>
      </c>
      <c r="F104" s="3" t="s">
        <v>669</v>
      </c>
      <c r="G104" s="3" t="s">
        <v>626</v>
      </c>
      <c r="H104" s="3" t="s">
        <v>627</v>
      </c>
      <c r="I104" s="3" t="s">
        <v>628</v>
      </c>
      <c r="J104" s="3" t="s">
        <v>371</v>
      </c>
      <c r="K104" s="3" t="s">
        <v>671</v>
      </c>
      <c r="L104" s="3" t="s">
        <v>371</v>
      </c>
      <c r="M104" s="3">
        <v>24</v>
      </c>
      <c r="N104" s="3" t="str">
        <f>M104&amp;"hr"</f>
        <v>24hr</v>
      </c>
      <c r="O104" s="3" t="str">
        <f>P104&amp;"uM"</f>
        <v>2.5uM</v>
      </c>
      <c r="P104" s="3">
        <v>2.5</v>
      </c>
      <c r="Q104" s="3">
        <v>4</v>
      </c>
      <c r="R104">
        <v>1</v>
      </c>
      <c r="S104" s="3" t="str">
        <f>I104&amp;"_ "&amp;J104&amp;"_ "&amp;N104&amp;"_ "&amp;O104</f>
        <v>RPTEC-Jennings_ CSP_ 24hr_ 2.5uM</v>
      </c>
      <c r="T104" s="3" t="s">
        <v>639</v>
      </c>
      <c r="U104" s="3" t="s">
        <v>640</v>
      </c>
      <c r="V104" s="3">
        <v>3777998</v>
      </c>
      <c r="W104" s="3">
        <v>178.95874188811499</v>
      </c>
      <c r="X104" s="3">
        <v>24</v>
      </c>
    </row>
    <row r="105" spans="1:24" x14ac:dyDescent="0.25">
      <c r="A105" s="3" t="s">
        <v>261</v>
      </c>
      <c r="B105" s="3" t="str">
        <f>H105&amp;"_ "&amp;I105&amp;"_ "&amp;J105&amp;"_ "&amp;N105&amp;"_ "&amp;O105&amp;"_R"&amp;R105</f>
        <v>Human_ RPTEC-Jennings_ CSP_ 24hr_ 2.5uM_R2</v>
      </c>
      <c r="C105" s="3" t="s">
        <v>99</v>
      </c>
      <c r="D105" s="3" t="str">
        <f>C105&amp;"_"&amp;E105</f>
        <v>LEIDEN_TQ_RPTEC_CSP2_H07</v>
      </c>
      <c r="E105" s="3" t="s">
        <v>262</v>
      </c>
      <c r="F105" s="3" t="s">
        <v>669</v>
      </c>
      <c r="G105" s="3" t="s">
        <v>626</v>
      </c>
      <c r="H105" s="3" t="s">
        <v>627</v>
      </c>
      <c r="I105" s="3" t="s">
        <v>628</v>
      </c>
      <c r="J105" s="3" t="s">
        <v>371</v>
      </c>
      <c r="K105" s="3" t="s">
        <v>671</v>
      </c>
      <c r="L105" s="3" t="s">
        <v>371</v>
      </c>
      <c r="M105" s="3">
        <v>24</v>
      </c>
      <c r="N105" s="3" t="str">
        <f>M105&amp;"hr"</f>
        <v>24hr</v>
      </c>
      <c r="O105" s="3" t="str">
        <f>P105&amp;"uM"</f>
        <v>2.5uM</v>
      </c>
      <c r="P105" s="3">
        <v>2.5</v>
      </c>
      <c r="Q105" s="3">
        <v>4</v>
      </c>
      <c r="R105">
        <v>2</v>
      </c>
      <c r="S105" s="3" t="str">
        <f>I105&amp;"_ "&amp;J105&amp;"_ "&amp;N105&amp;"_ "&amp;O105</f>
        <v>RPTEC-Jennings_ CSP_ 24hr_ 2.5uM</v>
      </c>
      <c r="T105" s="3" t="s">
        <v>639</v>
      </c>
      <c r="U105" s="3" t="s">
        <v>654</v>
      </c>
      <c r="V105" s="3">
        <v>5563826</v>
      </c>
      <c r="W105" s="3">
        <v>263.551039742314</v>
      </c>
      <c r="X105" s="3">
        <v>24</v>
      </c>
    </row>
    <row r="106" spans="1:24" x14ac:dyDescent="0.25">
      <c r="A106" s="3" t="s">
        <v>343</v>
      </c>
      <c r="B106" s="3" t="str">
        <f>H106&amp;"_ "&amp;I106&amp;"_ "&amp;J106&amp;"_ "&amp;N106&amp;"_ "&amp;O106&amp;"_R"&amp;R106</f>
        <v>Human_ RPTEC-Jennings_ CSP_ 24hr_ 2.5uM_R3</v>
      </c>
      <c r="C106" s="3" t="s">
        <v>272</v>
      </c>
      <c r="D106" s="3" t="str">
        <f>C106&amp;"_"&amp;E106</f>
        <v>LEIDEN_TQ_RPTEC_CSP3_G07</v>
      </c>
      <c r="E106" s="3" t="s">
        <v>242</v>
      </c>
      <c r="F106" s="3" t="s">
        <v>670</v>
      </c>
      <c r="G106" s="3" t="s">
        <v>626</v>
      </c>
      <c r="H106" s="3" t="s">
        <v>627</v>
      </c>
      <c r="I106" s="3" t="s">
        <v>628</v>
      </c>
      <c r="J106" s="3" t="s">
        <v>371</v>
      </c>
      <c r="K106" s="3" t="s">
        <v>671</v>
      </c>
      <c r="L106" s="3" t="s">
        <v>371</v>
      </c>
      <c r="M106" s="3">
        <v>24</v>
      </c>
      <c r="N106" s="3" t="str">
        <f>M106&amp;"hr"</f>
        <v>24hr</v>
      </c>
      <c r="O106" s="3" t="str">
        <f>P106&amp;"uM"</f>
        <v>2.5uM</v>
      </c>
      <c r="P106" s="3">
        <v>2.5</v>
      </c>
      <c r="Q106" s="3">
        <v>4</v>
      </c>
      <c r="R106">
        <v>3</v>
      </c>
      <c r="S106" s="3" t="str">
        <f>I106&amp;"_ "&amp;J106&amp;"_ "&amp;N106&amp;"_ "&amp;O106</f>
        <v>RPTEC-Jennings_ CSP_ 24hr_ 2.5uM</v>
      </c>
      <c r="T106" s="3" t="s">
        <v>639</v>
      </c>
      <c r="U106" s="3" t="s">
        <v>664</v>
      </c>
      <c r="V106" s="3">
        <v>3273066</v>
      </c>
      <c r="W106" s="3">
        <v>155.04078442518099</v>
      </c>
      <c r="X106" s="3">
        <v>24</v>
      </c>
    </row>
    <row r="107" spans="1:24" x14ac:dyDescent="0.25">
      <c r="A107" s="3" t="s">
        <v>202</v>
      </c>
      <c r="B107" s="3" t="str">
        <f>H107&amp;"_ "&amp;I107&amp;"_ "&amp;J107&amp;"_ "&amp;N107&amp;"_ "&amp;O107&amp;"_R"&amp;R107</f>
        <v>Human_ RPTEC-TERT1_ CSP_ 24hr_ 5uM_R1</v>
      </c>
      <c r="C107" s="3" t="s">
        <v>99</v>
      </c>
      <c r="D107" s="3" t="str">
        <f>C107&amp;"_"&amp;E107</f>
        <v>LEIDEN_TQ_RPTEC_CSP2_D06</v>
      </c>
      <c r="E107" s="3" t="s">
        <v>108</v>
      </c>
      <c r="F107" s="3" t="s">
        <v>669</v>
      </c>
      <c r="G107" s="3" t="s">
        <v>626</v>
      </c>
      <c r="H107" s="3" t="s">
        <v>627</v>
      </c>
      <c r="I107" s="3" t="s">
        <v>350</v>
      </c>
      <c r="J107" s="3" t="s">
        <v>371</v>
      </c>
      <c r="K107" s="3" t="s">
        <v>671</v>
      </c>
      <c r="L107" s="3" t="s">
        <v>371</v>
      </c>
      <c r="M107" s="3">
        <v>24</v>
      </c>
      <c r="N107" s="3" t="str">
        <f>M107&amp;"hr"</f>
        <v>24hr</v>
      </c>
      <c r="O107" s="3" t="str">
        <f>P107&amp;"uM"</f>
        <v>5uM</v>
      </c>
      <c r="P107" s="3">
        <v>5</v>
      </c>
      <c r="Q107" s="3">
        <v>5</v>
      </c>
      <c r="R107">
        <v>1</v>
      </c>
      <c r="S107" s="3" t="str">
        <f>I107&amp;"_ "&amp;J107&amp;"_ "&amp;N107&amp;"_ "&amp;O107</f>
        <v>RPTEC-TERT1_ CSP_ 24hr_ 5uM</v>
      </c>
      <c r="T107" s="3" t="s">
        <v>506</v>
      </c>
      <c r="U107" s="3" t="s">
        <v>507</v>
      </c>
      <c r="V107" s="3">
        <v>3985828</v>
      </c>
      <c r="W107" s="3">
        <v>188.80337264932999</v>
      </c>
      <c r="X107" s="3">
        <v>24</v>
      </c>
    </row>
    <row r="108" spans="1:24" x14ac:dyDescent="0.25">
      <c r="A108" s="3" t="s">
        <v>213</v>
      </c>
      <c r="B108" s="3" t="str">
        <f>H108&amp;"_ "&amp;I108&amp;"_ "&amp;J108&amp;"_ "&amp;N108&amp;"_ "&amp;O108&amp;"_R"&amp;R108</f>
        <v>Human_ RPTEC-TERT1_ CSP_ 24hr_ 5uM_R2</v>
      </c>
      <c r="C108" s="3" t="s">
        <v>99</v>
      </c>
      <c r="D108" s="3" t="str">
        <f>C108&amp;"_"&amp;E108</f>
        <v>LEIDEN_TQ_RPTEC_CSP2_E06</v>
      </c>
      <c r="E108" s="3" t="s">
        <v>130</v>
      </c>
      <c r="F108" s="3" t="s">
        <v>669</v>
      </c>
      <c r="G108" s="3" t="s">
        <v>626</v>
      </c>
      <c r="H108" s="3" t="s">
        <v>627</v>
      </c>
      <c r="I108" s="3" t="s">
        <v>350</v>
      </c>
      <c r="J108" s="3" t="s">
        <v>371</v>
      </c>
      <c r="K108" s="3" t="s">
        <v>671</v>
      </c>
      <c r="L108" s="3" t="s">
        <v>371</v>
      </c>
      <c r="M108" s="3">
        <v>24</v>
      </c>
      <c r="N108" s="3" t="str">
        <f>M108&amp;"hr"</f>
        <v>24hr</v>
      </c>
      <c r="O108" s="3" t="str">
        <f>P108&amp;"uM"</f>
        <v>5uM</v>
      </c>
      <c r="P108" s="3">
        <v>5</v>
      </c>
      <c r="Q108" s="3">
        <v>5</v>
      </c>
      <c r="R108">
        <v>2</v>
      </c>
      <c r="S108" s="3" t="str">
        <f>I108&amp;"_ "&amp;J108&amp;"_ "&amp;N108&amp;"_ "&amp;O108</f>
        <v>RPTEC-TERT1_ CSP_ 24hr_ 5uM</v>
      </c>
      <c r="T108" s="3" t="s">
        <v>506</v>
      </c>
      <c r="U108" s="3" t="s">
        <v>523</v>
      </c>
      <c r="V108" s="3">
        <v>5156502</v>
      </c>
      <c r="W108" s="3">
        <v>244.256643456018</v>
      </c>
      <c r="X108" s="3">
        <v>24</v>
      </c>
    </row>
    <row r="109" spans="1:24" x14ac:dyDescent="0.25">
      <c r="A109" s="3" t="s">
        <v>224</v>
      </c>
      <c r="B109" s="3" t="str">
        <f>H109&amp;"_ "&amp;I109&amp;"_ "&amp;J109&amp;"_ "&amp;N109&amp;"_ "&amp;O109&amp;"_R"&amp;R109</f>
        <v>Human_ RPTEC-TERT1_ CSP_ 24hr_ 5uM_R3</v>
      </c>
      <c r="C109" s="3" t="s">
        <v>99</v>
      </c>
      <c r="D109" s="3" t="str">
        <f>C109&amp;"_"&amp;E109</f>
        <v>LEIDEN_TQ_RPTEC_CSP2_F06</v>
      </c>
      <c r="E109" s="3" t="s">
        <v>152</v>
      </c>
      <c r="F109" s="3" t="s">
        <v>669</v>
      </c>
      <c r="G109" s="3" t="s">
        <v>626</v>
      </c>
      <c r="H109" s="3" t="s">
        <v>627</v>
      </c>
      <c r="I109" s="3" t="s">
        <v>350</v>
      </c>
      <c r="J109" s="3" t="s">
        <v>371</v>
      </c>
      <c r="K109" s="3" t="s">
        <v>671</v>
      </c>
      <c r="L109" s="3" t="s">
        <v>371</v>
      </c>
      <c r="M109" s="3">
        <v>24</v>
      </c>
      <c r="N109" s="3" t="str">
        <f>M109&amp;"hr"</f>
        <v>24hr</v>
      </c>
      <c r="O109" s="3" t="str">
        <f>P109&amp;"uM"</f>
        <v>5uM</v>
      </c>
      <c r="P109" s="3">
        <v>5</v>
      </c>
      <c r="Q109" s="3">
        <v>5</v>
      </c>
      <c r="R109">
        <v>3</v>
      </c>
      <c r="S109" s="3" t="str">
        <f>I109&amp;"_ "&amp;J109&amp;"_ "&amp;N109&amp;"_ "&amp;O109</f>
        <v>RPTEC-TERT1_ CSP_ 24hr_ 5uM</v>
      </c>
      <c r="T109" s="3" t="s">
        <v>506</v>
      </c>
      <c r="U109" s="3" t="s">
        <v>534</v>
      </c>
      <c r="V109" s="3">
        <v>3557094</v>
      </c>
      <c r="W109" s="3">
        <v>168.49481313059499</v>
      </c>
      <c r="X109" s="3">
        <v>24</v>
      </c>
    </row>
    <row r="110" spans="1:24" x14ac:dyDescent="0.25">
      <c r="A110" s="3" t="s">
        <v>239</v>
      </c>
      <c r="B110" s="3" t="str">
        <f>H110&amp;"_ "&amp;I110&amp;"_ "&amp;J110&amp;"_ "&amp;N110&amp;"_ "&amp;O110&amp;"_R"&amp;R110</f>
        <v>Human_ RPTEC-Jennings_ CSP_ 24hr_ 5uM_R1</v>
      </c>
      <c r="C110" s="3" t="s">
        <v>99</v>
      </c>
      <c r="D110" s="3" t="str">
        <f>C110&amp;"_"&amp;E110</f>
        <v>LEIDEN_TQ_RPTEC_CSP2_G06</v>
      </c>
      <c r="E110" s="3" t="s">
        <v>240</v>
      </c>
      <c r="F110" s="3" t="s">
        <v>669</v>
      </c>
      <c r="G110" s="3" t="s">
        <v>626</v>
      </c>
      <c r="H110" s="3" t="s">
        <v>627</v>
      </c>
      <c r="I110" s="3" t="s">
        <v>628</v>
      </c>
      <c r="J110" s="3" t="s">
        <v>371</v>
      </c>
      <c r="K110" s="3" t="s">
        <v>671</v>
      </c>
      <c r="L110" s="3" t="s">
        <v>371</v>
      </c>
      <c r="M110" s="3">
        <v>24</v>
      </c>
      <c r="N110" s="3" t="str">
        <f>M110&amp;"hr"</f>
        <v>24hr</v>
      </c>
      <c r="O110" s="3" t="str">
        <f>P110&amp;"uM"</f>
        <v>5uM</v>
      </c>
      <c r="P110" s="3">
        <v>5</v>
      </c>
      <c r="Q110" s="3">
        <v>5</v>
      </c>
      <c r="R110">
        <v>1</v>
      </c>
      <c r="S110" s="3" t="str">
        <f>I110&amp;"_ "&amp;J110&amp;"_ "&amp;N110&amp;"_ "&amp;O110</f>
        <v>RPTEC-Jennings_ CSP_ 24hr_ 5uM</v>
      </c>
      <c r="T110" s="3" t="s">
        <v>637</v>
      </c>
      <c r="U110" s="3" t="s">
        <v>638</v>
      </c>
      <c r="V110" s="3">
        <v>4223001</v>
      </c>
      <c r="W110" s="3">
        <v>200.03794230496001</v>
      </c>
      <c r="X110" s="3">
        <v>24</v>
      </c>
    </row>
    <row r="111" spans="1:24" x14ac:dyDescent="0.25">
      <c r="A111" s="3" t="s">
        <v>259</v>
      </c>
      <c r="B111" s="3" t="str">
        <f>H111&amp;"_ "&amp;I111&amp;"_ "&amp;J111&amp;"_ "&amp;N111&amp;"_ "&amp;O111&amp;"_R"&amp;R111</f>
        <v>Human_ RPTEC-Jennings_ CSP_ 24hr_ 5uM_R2</v>
      </c>
      <c r="C111" s="3" t="s">
        <v>99</v>
      </c>
      <c r="D111" s="3" t="str">
        <f>C111&amp;"_"&amp;E111</f>
        <v>LEIDEN_TQ_RPTEC_CSP2_H06</v>
      </c>
      <c r="E111" s="3" t="s">
        <v>260</v>
      </c>
      <c r="F111" s="3" t="s">
        <v>669</v>
      </c>
      <c r="G111" s="3" t="s">
        <v>626</v>
      </c>
      <c r="H111" s="3" t="s">
        <v>627</v>
      </c>
      <c r="I111" s="3" t="s">
        <v>628</v>
      </c>
      <c r="J111" s="3" t="s">
        <v>371</v>
      </c>
      <c r="K111" s="3" t="s">
        <v>671</v>
      </c>
      <c r="L111" s="3" t="s">
        <v>371</v>
      </c>
      <c r="M111" s="3">
        <v>24</v>
      </c>
      <c r="N111" s="3" t="str">
        <f>M111&amp;"hr"</f>
        <v>24hr</v>
      </c>
      <c r="O111" s="3" t="str">
        <f>P111&amp;"uM"</f>
        <v>5uM</v>
      </c>
      <c r="P111" s="3">
        <v>5</v>
      </c>
      <c r="Q111" s="3">
        <v>5</v>
      </c>
      <c r="R111">
        <v>2</v>
      </c>
      <c r="S111" s="3" t="str">
        <f>I111&amp;"_ "&amp;J111&amp;"_ "&amp;N111&amp;"_ "&amp;O111</f>
        <v>RPTEC-Jennings_ CSP_ 24hr_ 5uM</v>
      </c>
      <c r="T111" s="3" t="s">
        <v>637</v>
      </c>
      <c r="U111" s="3" t="s">
        <v>653</v>
      </c>
      <c r="V111" s="3">
        <v>3947744</v>
      </c>
      <c r="W111" s="3">
        <v>186.999384207285</v>
      </c>
      <c r="X111" s="3">
        <v>24</v>
      </c>
    </row>
    <row r="112" spans="1:24" x14ac:dyDescent="0.25">
      <c r="A112" s="3" t="s">
        <v>342</v>
      </c>
      <c r="B112" s="3" t="str">
        <f>H112&amp;"_ "&amp;I112&amp;"_ "&amp;J112&amp;"_ "&amp;N112&amp;"_ "&amp;O112&amp;"_R"&amp;R112</f>
        <v>Human_ RPTEC-Jennings_ CSP_ 24hr_ 5uM_R3</v>
      </c>
      <c r="C112" s="3" t="s">
        <v>272</v>
      </c>
      <c r="D112" s="3" t="str">
        <f>C112&amp;"_"&amp;E112</f>
        <v>LEIDEN_TQ_RPTEC_CSP3_G06</v>
      </c>
      <c r="E112" s="3" t="s">
        <v>240</v>
      </c>
      <c r="F112" s="3" t="s">
        <v>670</v>
      </c>
      <c r="G112" s="3" t="s">
        <v>626</v>
      </c>
      <c r="H112" s="3" t="s">
        <v>627</v>
      </c>
      <c r="I112" s="3" t="s">
        <v>628</v>
      </c>
      <c r="J112" s="3" t="s">
        <v>371</v>
      </c>
      <c r="K112" s="3" t="s">
        <v>671</v>
      </c>
      <c r="L112" s="3" t="s">
        <v>371</v>
      </c>
      <c r="M112" s="3">
        <v>24</v>
      </c>
      <c r="N112" s="3" t="str">
        <f>M112&amp;"hr"</f>
        <v>24hr</v>
      </c>
      <c r="O112" s="3" t="str">
        <f>P112&amp;"uM"</f>
        <v>5uM</v>
      </c>
      <c r="P112" s="3">
        <v>5</v>
      </c>
      <c r="Q112" s="3">
        <v>5</v>
      </c>
      <c r="R112">
        <v>3</v>
      </c>
      <c r="S112" s="3" t="str">
        <f>I112&amp;"_ "&amp;J112&amp;"_ "&amp;N112&amp;"_ "&amp;O112</f>
        <v>RPTEC-Jennings_ CSP_ 24hr_ 5uM</v>
      </c>
      <c r="T112" s="3" t="s">
        <v>637</v>
      </c>
      <c r="U112" s="3" t="s">
        <v>663</v>
      </c>
      <c r="V112" s="3">
        <v>3888313</v>
      </c>
      <c r="W112" s="3">
        <v>184.18421675903599</v>
      </c>
      <c r="X112" s="3">
        <v>24</v>
      </c>
    </row>
    <row r="113" spans="1:24" x14ac:dyDescent="0.25">
      <c r="A113" s="3" t="s">
        <v>201</v>
      </c>
      <c r="B113" s="3" t="str">
        <f>H113&amp;"_ "&amp;I113&amp;"_ "&amp;J113&amp;"_ "&amp;N113&amp;"_ "&amp;O113&amp;"_R"&amp;R113</f>
        <v>Human_ RPTEC-TERT1_ CSP_ 24hr_ 10uM_R1</v>
      </c>
      <c r="C113" s="3" t="s">
        <v>99</v>
      </c>
      <c r="D113" s="3" t="str">
        <f>C113&amp;"_"&amp;E113</f>
        <v>LEIDEN_TQ_RPTEC_CSP2_D05</v>
      </c>
      <c r="E113" s="3" t="s">
        <v>106</v>
      </c>
      <c r="F113" s="3" t="s">
        <v>669</v>
      </c>
      <c r="G113" s="3" t="s">
        <v>626</v>
      </c>
      <c r="H113" s="3" t="s">
        <v>627</v>
      </c>
      <c r="I113" s="3" t="s">
        <v>350</v>
      </c>
      <c r="J113" s="3" t="s">
        <v>371</v>
      </c>
      <c r="K113" s="3" t="s">
        <v>671</v>
      </c>
      <c r="L113" s="3" t="s">
        <v>371</v>
      </c>
      <c r="M113" s="3">
        <v>24</v>
      </c>
      <c r="N113" s="3" t="str">
        <f>M113&amp;"hr"</f>
        <v>24hr</v>
      </c>
      <c r="O113" s="3" t="str">
        <f>P113&amp;"uM"</f>
        <v>10uM</v>
      </c>
      <c r="P113" s="3">
        <v>10</v>
      </c>
      <c r="Q113" s="3">
        <v>6</v>
      </c>
      <c r="R113">
        <v>1</v>
      </c>
      <c r="S113" s="3" t="str">
        <f>I113&amp;"_ "&amp;J113&amp;"_ "&amp;N113&amp;"_ "&amp;O113</f>
        <v>RPTEC-TERT1_ CSP_ 24hr_ 10uM</v>
      </c>
      <c r="T113" s="3" t="s">
        <v>504</v>
      </c>
      <c r="U113" s="3" t="s">
        <v>505</v>
      </c>
      <c r="V113" s="3">
        <v>3530726</v>
      </c>
      <c r="W113" s="3">
        <v>167.24579603050501</v>
      </c>
      <c r="X113" s="3">
        <v>24</v>
      </c>
    </row>
    <row r="114" spans="1:24" x14ac:dyDescent="0.25">
      <c r="A114" s="3" t="s">
        <v>212</v>
      </c>
      <c r="B114" s="3" t="str">
        <f>H114&amp;"_ "&amp;I114&amp;"_ "&amp;J114&amp;"_ "&amp;N114&amp;"_ "&amp;O114&amp;"_R"&amp;R114</f>
        <v>Human_ RPTEC-TERT1_ CSP_ 24hr_ 10uM_R2</v>
      </c>
      <c r="C114" s="3" t="s">
        <v>99</v>
      </c>
      <c r="D114" s="3" t="str">
        <f>C114&amp;"_"&amp;E114</f>
        <v>LEIDEN_TQ_RPTEC_CSP2_E05</v>
      </c>
      <c r="E114" s="3" t="s">
        <v>128</v>
      </c>
      <c r="F114" s="3" t="s">
        <v>669</v>
      </c>
      <c r="G114" s="3" t="s">
        <v>626</v>
      </c>
      <c r="H114" s="3" t="s">
        <v>627</v>
      </c>
      <c r="I114" s="3" t="s">
        <v>350</v>
      </c>
      <c r="J114" s="3" t="s">
        <v>371</v>
      </c>
      <c r="K114" s="3" t="s">
        <v>671</v>
      </c>
      <c r="L114" s="3" t="s">
        <v>371</v>
      </c>
      <c r="M114" s="3">
        <v>24</v>
      </c>
      <c r="N114" s="3" t="str">
        <f>M114&amp;"hr"</f>
        <v>24hr</v>
      </c>
      <c r="O114" s="3" t="str">
        <f>P114&amp;"uM"</f>
        <v>10uM</v>
      </c>
      <c r="P114" s="3">
        <v>10</v>
      </c>
      <c r="Q114" s="3">
        <v>6</v>
      </c>
      <c r="R114">
        <v>2</v>
      </c>
      <c r="S114" s="3" t="str">
        <f>I114&amp;"_ "&amp;J114&amp;"_ "&amp;N114&amp;"_ "&amp;O114</f>
        <v>RPTEC-TERT1_ CSP_ 24hr_ 10uM</v>
      </c>
      <c r="T114" s="3" t="s">
        <v>504</v>
      </c>
      <c r="U114" s="3" t="s">
        <v>522</v>
      </c>
      <c r="V114" s="3">
        <v>5820422</v>
      </c>
      <c r="W114" s="3">
        <v>275.705651082374</v>
      </c>
      <c r="X114" s="3">
        <v>24</v>
      </c>
    </row>
    <row r="115" spans="1:24" x14ac:dyDescent="0.25">
      <c r="A115" s="3" t="s">
        <v>223</v>
      </c>
      <c r="B115" s="3" t="str">
        <f>H115&amp;"_ "&amp;I115&amp;"_ "&amp;J115&amp;"_ "&amp;N115&amp;"_ "&amp;O115&amp;"_R"&amp;R115</f>
        <v>Human_ RPTEC-TERT1_ CSP_ 24hr_ 10uM_R3</v>
      </c>
      <c r="C115" s="3" t="s">
        <v>99</v>
      </c>
      <c r="D115" s="3" t="str">
        <f>C115&amp;"_"&amp;E115</f>
        <v>LEIDEN_TQ_RPTEC_CSP2_F05</v>
      </c>
      <c r="E115" s="3" t="s">
        <v>150</v>
      </c>
      <c r="F115" s="3" t="s">
        <v>669</v>
      </c>
      <c r="G115" s="3" t="s">
        <v>626</v>
      </c>
      <c r="H115" s="3" t="s">
        <v>627</v>
      </c>
      <c r="I115" s="3" t="s">
        <v>350</v>
      </c>
      <c r="J115" s="3" t="s">
        <v>371</v>
      </c>
      <c r="K115" s="3" t="s">
        <v>671</v>
      </c>
      <c r="L115" s="3" t="s">
        <v>371</v>
      </c>
      <c r="M115" s="3">
        <v>24</v>
      </c>
      <c r="N115" s="3" t="str">
        <f>M115&amp;"hr"</f>
        <v>24hr</v>
      </c>
      <c r="O115" s="3" t="str">
        <f>P115&amp;"uM"</f>
        <v>10uM</v>
      </c>
      <c r="P115" s="3">
        <v>10</v>
      </c>
      <c r="Q115" s="3">
        <v>6</v>
      </c>
      <c r="R115">
        <v>3</v>
      </c>
      <c r="S115" s="3" t="str">
        <f>I115&amp;"_ "&amp;J115&amp;"_ "&amp;N115&amp;"_ "&amp;O115</f>
        <v>RPTEC-TERT1_ CSP_ 24hr_ 10uM</v>
      </c>
      <c r="T115" s="3" t="s">
        <v>504</v>
      </c>
      <c r="U115" s="3" t="s">
        <v>533</v>
      </c>
      <c r="V115" s="3">
        <v>4499959</v>
      </c>
      <c r="W115" s="3">
        <v>213.15707451091799</v>
      </c>
      <c r="X115" s="3">
        <v>24</v>
      </c>
    </row>
    <row r="116" spans="1:24" x14ac:dyDescent="0.25">
      <c r="A116" s="3" t="s">
        <v>237</v>
      </c>
      <c r="B116" s="3" t="str">
        <f>H116&amp;"_ "&amp;I116&amp;"_ "&amp;J116&amp;"_ "&amp;N116&amp;"_ "&amp;O116&amp;"_R"&amp;R116</f>
        <v>Human_ RPTEC-Jennings_ CSP_ 24hr_ 10uM_R1</v>
      </c>
      <c r="C116" s="3" t="s">
        <v>99</v>
      </c>
      <c r="D116" s="3" t="str">
        <f>C116&amp;"_"&amp;E116</f>
        <v>LEIDEN_TQ_RPTEC_CSP2_G05</v>
      </c>
      <c r="E116" s="3" t="s">
        <v>238</v>
      </c>
      <c r="F116" s="3" t="s">
        <v>669</v>
      </c>
      <c r="G116" s="3" t="s">
        <v>626</v>
      </c>
      <c r="H116" s="3" t="s">
        <v>627</v>
      </c>
      <c r="I116" s="3" t="s">
        <v>628</v>
      </c>
      <c r="J116" s="3" t="s">
        <v>371</v>
      </c>
      <c r="K116" s="3" t="s">
        <v>671</v>
      </c>
      <c r="L116" s="3" t="s">
        <v>371</v>
      </c>
      <c r="M116" s="3">
        <v>24</v>
      </c>
      <c r="N116" s="3" t="str">
        <f>M116&amp;"hr"</f>
        <v>24hr</v>
      </c>
      <c r="O116" s="3" t="str">
        <f>P116&amp;"uM"</f>
        <v>10uM</v>
      </c>
      <c r="P116" s="3">
        <v>10</v>
      </c>
      <c r="Q116" s="3">
        <v>6</v>
      </c>
      <c r="R116">
        <v>1</v>
      </c>
      <c r="S116" s="3" t="str">
        <f>I116&amp;"_ "&amp;J116&amp;"_ "&amp;N116&amp;"_ "&amp;O116</f>
        <v>RPTEC-Jennings_ CSP_ 24hr_ 10uM</v>
      </c>
      <c r="T116" s="3" t="s">
        <v>635</v>
      </c>
      <c r="U116" s="3" t="s">
        <v>636</v>
      </c>
      <c r="V116" s="3">
        <v>4095440</v>
      </c>
      <c r="W116" s="3">
        <v>193.99554734498599</v>
      </c>
      <c r="X116" s="3">
        <v>24</v>
      </c>
    </row>
    <row r="117" spans="1:24" x14ac:dyDescent="0.25">
      <c r="A117" s="3" t="s">
        <v>257</v>
      </c>
      <c r="B117" s="3" t="str">
        <f>H117&amp;"_ "&amp;I117&amp;"_ "&amp;J117&amp;"_ "&amp;N117&amp;"_ "&amp;O117&amp;"_R"&amp;R117</f>
        <v>Human_ RPTEC-Jennings_ CSP_ 24hr_ 10uM_R2</v>
      </c>
      <c r="C117" s="3" t="s">
        <v>99</v>
      </c>
      <c r="D117" s="3" t="str">
        <f>C117&amp;"_"&amp;E117</f>
        <v>LEIDEN_TQ_RPTEC_CSP2_H05</v>
      </c>
      <c r="E117" s="3" t="s">
        <v>258</v>
      </c>
      <c r="F117" s="3" t="s">
        <v>669</v>
      </c>
      <c r="G117" s="3" t="s">
        <v>626</v>
      </c>
      <c r="H117" s="3" t="s">
        <v>627</v>
      </c>
      <c r="I117" s="3" t="s">
        <v>628</v>
      </c>
      <c r="J117" s="3" t="s">
        <v>371</v>
      </c>
      <c r="K117" s="3" t="s">
        <v>671</v>
      </c>
      <c r="L117" s="3" t="s">
        <v>371</v>
      </c>
      <c r="M117" s="3">
        <v>24</v>
      </c>
      <c r="N117" s="3" t="str">
        <f>M117&amp;"hr"</f>
        <v>24hr</v>
      </c>
      <c r="O117" s="3" t="str">
        <f>P117&amp;"uM"</f>
        <v>10uM</v>
      </c>
      <c r="P117" s="3">
        <v>10</v>
      </c>
      <c r="Q117" s="3">
        <v>6</v>
      </c>
      <c r="R117">
        <v>2</v>
      </c>
      <c r="S117" s="3" t="str">
        <f>I117&amp;"_ "&amp;J117&amp;"_ "&amp;N117&amp;"_ "&amp;O117</f>
        <v>RPTEC-Jennings_ CSP_ 24hr_ 10uM</v>
      </c>
      <c r="T117" s="3" t="s">
        <v>635</v>
      </c>
      <c r="U117" s="3" t="s">
        <v>652</v>
      </c>
      <c r="V117" s="3">
        <v>4669727</v>
      </c>
      <c r="W117" s="3">
        <v>221.198758940837</v>
      </c>
      <c r="X117" s="3">
        <v>24</v>
      </c>
    </row>
    <row r="118" spans="1:24" x14ac:dyDescent="0.25">
      <c r="A118" s="3" t="s">
        <v>341</v>
      </c>
      <c r="B118" s="3" t="str">
        <f>H118&amp;"_ "&amp;I118&amp;"_ "&amp;J118&amp;"_ "&amp;N118&amp;"_ "&amp;O118&amp;"_R"&amp;R118</f>
        <v>Human_ RPTEC-Jennings_ CSP_ 24hr_ 10uM_R3</v>
      </c>
      <c r="C118" s="3" t="s">
        <v>272</v>
      </c>
      <c r="D118" s="3" t="str">
        <f>C118&amp;"_"&amp;E118</f>
        <v>LEIDEN_TQ_RPTEC_CSP3_G05</v>
      </c>
      <c r="E118" s="3" t="s">
        <v>238</v>
      </c>
      <c r="F118" s="3" t="s">
        <v>670</v>
      </c>
      <c r="G118" s="3" t="s">
        <v>626</v>
      </c>
      <c r="H118" s="3" t="s">
        <v>627</v>
      </c>
      <c r="I118" s="3" t="s">
        <v>628</v>
      </c>
      <c r="J118" s="3" t="s">
        <v>371</v>
      </c>
      <c r="K118" s="3" t="s">
        <v>671</v>
      </c>
      <c r="L118" s="3" t="s">
        <v>371</v>
      </c>
      <c r="M118" s="3">
        <v>24</v>
      </c>
      <c r="N118" s="3" t="str">
        <f>M118&amp;"hr"</f>
        <v>24hr</v>
      </c>
      <c r="O118" s="3" t="str">
        <f>P118&amp;"uM"</f>
        <v>10uM</v>
      </c>
      <c r="P118" s="3">
        <v>10</v>
      </c>
      <c r="Q118" s="3">
        <v>6</v>
      </c>
      <c r="R118">
        <v>3</v>
      </c>
      <c r="S118" s="3" t="str">
        <f>I118&amp;"_ "&amp;J118&amp;"_ "&amp;N118&amp;"_ "&amp;O118</f>
        <v>RPTEC-Jennings_ CSP_ 24hr_ 10uM</v>
      </c>
      <c r="T118" s="3" t="s">
        <v>635</v>
      </c>
      <c r="U118" s="3" t="s">
        <v>662</v>
      </c>
      <c r="V118" s="3">
        <v>4167408</v>
      </c>
      <c r="W118" s="3">
        <v>197.40457581355699</v>
      </c>
      <c r="X118" s="3">
        <v>24</v>
      </c>
    </row>
    <row r="119" spans="1:24" x14ac:dyDescent="0.25">
      <c r="A119" s="3" t="s">
        <v>200</v>
      </c>
      <c r="B119" s="3" t="str">
        <f>H119&amp;"_ "&amp;I119&amp;"_ "&amp;J119&amp;"_ "&amp;N119&amp;"_ "&amp;O119&amp;"_R"&amp;R119</f>
        <v>Human_ RPTEC-TERT1_ CSP_ 24hr_ 20uM_R1</v>
      </c>
      <c r="C119" s="3" t="s">
        <v>99</v>
      </c>
      <c r="D119" s="3" t="str">
        <f>C119&amp;"_"&amp;E119</f>
        <v>LEIDEN_TQ_RPTEC_CSP2_D04</v>
      </c>
      <c r="E119" s="3" t="s">
        <v>104</v>
      </c>
      <c r="F119" s="3" t="s">
        <v>669</v>
      </c>
      <c r="G119" s="3" t="s">
        <v>626</v>
      </c>
      <c r="H119" s="3" t="s">
        <v>627</v>
      </c>
      <c r="I119" s="3" t="s">
        <v>350</v>
      </c>
      <c r="J119" s="3" t="s">
        <v>371</v>
      </c>
      <c r="K119" s="3" t="s">
        <v>671</v>
      </c>
      <c r="L119" s="3" t="s">
        <v>371</v>
      </c>
      <c r="M119" s="3">
        <v>24</v>
      </c>
      <c r="N119" s="3" t="str">
        <f>M119&amp;"hr"</f>
        <v>24hr</v>
      </c>
      <c r="O119" s="3" t="str">
        <f>P119&amp;"uM"</f>
        <v>20uM</v>
      </c>
      <c r="P119" s="3">
        <v>20</v>
      </c>
      <c r="Q119" s="3">
        <v>7</v>
      </c>
      <c r="R119">
        <v>1</v>
      </c>
      <c r="S119" s="3" t="str">
        <f>I119&amp;"_ "&amp;J119&amp;"_ "&amp;N119&amp;"_ "&amp;O119</f>
        <v>RPTEC-TERT1_ CSP_ 24hr_ 20uM</v>
      </c>
      <c r="T119" s="3" t="s">
        <v>502</v>
      </c>
      <c r="U119" s="3" t="s">
        <v>503</v>
      </c>
      <c r="V119" s="3">
        <v>1200969</v>
      </c>
      <c r="W119" s="3">
        <v>56.888304675287799</v>
      </c>
      <c r="X119" s="3">
        <v>24</v>
      </c>
    </row>
    <row r="120" spans="1:24" x14ac:dyDescent="0.25">
      <c r="A120" s="3" t="s">
        <v>211</v>
      </c>
      <c r="B120" s="3" t="str">
        <f>H120&amp;"_ "&amp;I120&amp;"_ "&amp;J120&amp;"_ "&amp;N120&amp;"_ "&amp;O120&amp;"_R"&amp;R120</f>
        <v>Human_ RPTEC-TERT1_ CSP_ 24hr_ 20uM_R2</v>
      </c>
      <c r="C120" s="3" t="s">
        <v>99</v>
      </c>
      <c r="D120" s="3" t="str">
        <f>C120&amp;"_"&amp;E120</f>
        <v>LEIDEN_TQ_RPTEC_CSP2_E04</v>
      </c>
      <c r="E120" s="3" t="s">
        <v>126</v>
      </c>
      <c r="F120" s="3" t="s">
        <v>669</v>
      </c>
      <c r="G120" s="3" t="s">
        <v>626</v>
      </c>
      <c r="H120" s="3" t="s">
        <v>627</v>
      </c>
      <c r="I120" s="3" t="s">
        <v>350</v>
      </c>
      <c r="J120" s="3" t="s">
        <v>371</v>
      </c>
      <c r="K120" s="3" t="s">
        <v>671</v>
      </c>
      <c r="L120" s="3" t="s">
        <v>371</v>
      </c>
      <c r="M120" s="3">
        <v>24</v>
      </c>
      <c r="N120" s="3" t="str">
        <f>M120&amp;"hr"</f>
        <v>24hr</v>
      </c>
      <c r="O120" s="3" t="str">
        <f>P120&amp;"uM"</f>
        <v>20uM</v>
      </c>
      <c r="P120" s="3">
        <v>20</v>
      </c>
      <c r="Q120" s="3">
        <v>7</v>
      </c>
      <c r="R120">
        <v>2</v>
      </c>
      <c r="S120" s="3" t="str">
        <f>I120&amp;"_ "&amp;J120&amp;"_ "&amp;N120&amp;"_ "&amp;O120</f>
        <v>RPTEC-TERT1_ CSP_ 24hr_ 20uM</v>
      </c>
      <c r="T120" s="3" t="s">
        <v>502</v>
      </c>
      <c r="U120" s="3" t="s">
        <v>521</v>
      </c>
      <c r="V120" s="3">
        <v>3773104</v>
      </c>
      <c r="W120" s="3">
        <v>178.726919615366</v>
      </c>
      <c r="X120" s="3">
        <v>24</v>
      </c>
    </row>
    <row r="121" spans="1:24" x14ac:dyDescent="0.25">
      <c r="A121" s="3" t="s">
        <v>222</v>
      </c>
      <c r="B121" s="3" t="str">
        <f>H121&amp;"_ "&amp;I121&amp;"_ "&amp;J121&amp;"_ "&amp;N121&amp;"_ "&amp;O121&amp;"_R"&amp;R121</f>
        <v>Human_ RPTEC-TERT1_ CSP_ 24hr_ 20uM_R3</v>
      </c>
      <c r="C121" s="3" t="s">
        <v>99</v>
      </c>
      <c r="D121" s="3" t="str">
        <f>C121&amp;"_"&amp;E121</f>
        <v>LEIDEN_TQ_RPTEC_CSP2_F04</v>
      </c>
      <c r="E121" s="3" t="s">
        <v>148</v>
      </c>
      <c r="F121" s="3" t="s">
        <v>669</v>
      </c>
      <c r="G121" s="3" t="s">
        <v>626</v>
      </c>
      <c r="H121" s="3" t="s">
        <v>627</v>
      </c>
      <c r="I121" s="3" t="s">
        <v>350</v>
      </c>
      <c r="J121" s="3" t="s">
        <v>371</v>
      </c>
      <c r="K121" s="3" t="s">
        <v>671</v>
      </c>
      <c r="L121" s="3" t="s">
        <v>371</v>
      </c>
      <c r="M121" s="3">
        <v>24</v>
      </c>
      <c r="N121" s="3" t="str">
        <f>M121&amp;"hr"</f>
        <v>24hr</v>
      </c>
      <c r="O121" s="3" t="str">
        <f>P121&amp;"uM"</f>
        <v>20uM</v>
      </c>
      <c r="P121" s="3">
        <v>20</v>
      </c>
      <c r="Q121" s="3">
        <v>7</v>
      </c>
      <c r="R121">
        <v>3</v>
      </c>
      <c r="S121" s="3" t="str">
        <f>I121&amp;"_ "&amp;J121&amp;"_ "&amp;N121&amp;"_ "&amp;O121</f>
        <v>RPTEC-TERT1_ CSP_ 24hr_ 20uM</v>
      </c>
      <c r="T121" s="3" t="s">
        <v>502</v>
      </c>
      <c r="U121" s="3" t="s">
        <v>532</v>
      </c>
      <c r="V121" s="3">
        <v>634578</v>
      </c>
      <c r="W121" s="3">
        <v>30.059116100611099</v>
      </c>
      <c r="X121" s="3">
        <v>24</v>
      </c>
    </row>
    <row r="122" spans="1:24" x14ac:dyDescent="0.25">
      <c r="A122" s="3" t="s">
        <v>235</v>
      </c>
      <c r="B122" s="3" t="str">
        <f>H122&amp;"_ "&amp;I122&amp;"_ "&amp;J122&amp;"_ "&amp;N122&amp;"_ "&amp;O122&amp;"_R"&amp;R122</f>
        <v>Human_ RPTEC-Jennings_ CSP_ 24hr_ 20uM_R1</v>
      </c>
      <c r="C122" s="3" t="s">
        <v>99</v>
      </c>
      <c r="D122" s="3" t="str">
        <f>C122&amp;"_"&amp;E122</f>
        <v>LEIDEN_TQ_RPTEC_CSP2_G04</v>
      </c>
      <c r="E122" s="3" t="s">
        <v>236</v>
      </c>
      <c r="F122" s="3" t="s">
        <v>669</v>
      </c>
      <c r="G122" s="3" t="s">
        <v>626</v>
      </c>
      <c r="H122" s="3" t="s">
        <v>627</v>
      </c>
      <c r="I122" s="3" t="s">
        <v>628</v>
      </c>
      <c r="J122" s="3" t="s">
        <v>371</v>
      </c>
      <c r="K122" s="3" t="s">
        <v>671</v>
      </c>
      <c r="L122" s="3" t="s">
        <v>371</v>
      </c>
      <c r="M122" s="3">
        <v>24</v>
      </c>
      <c r="N122" s="3" t="str">
        <f>M122&amp;"hr"</f>
        <v>24hr</v>
      </c>
      <c r="O122" s="3" t="str">
        <f>P122&amp;"uM"</f>
        <v>20uM</v>
      </c>
      <c r="P122" s="3">
        <v>20</v>
      </c>
      <c r="Q122" s="3">
        <v>7</v>
      </c>
      <c r="R122">
        <v>1</v>
      </c>
      <c r="S122" s="3" t="str">
        <f>I122&amp;"_ "&amp;J122&amp;"_ "&amp;N122&amp;"_ "&amp;O122</f>
        <v>RPTEC-Jennings_ CSP_ 24hr_ 20uM</v>
      </c>
      <c r="T122" s="3" t="s">
        <v>633</v>
      </c>
      <c r="U122" s="3" t="s">
        <v>634</v>
      </c>
      <c r="V122" s="3">
        <v>5459885</v>
      </c>
      <c r="W122" s="3">
        <v>258.62749277627802</v>
      </c>
      <c r="X122" s="3">
        <v>24</v>
      </c>
    </row>
    <row r="123" spans="1:24" x14ac:dyDescent="0.25">
      <c r="A123" s="3" t="s">
        <v>255</v>
      </c>
      <c r="B123" s="3" t="str">
        <f>H123&amp;"_ "&amp;I123&amp;"_ "&amp;J123&amp;"_ "&amp;N123&amp;"_ "&amp;O123&amp;"_R"&amp;R123</f>
        <v>Human_ RPTEC-Jennings_ CSP_ 24hr_ 20uM_R2</v>
      </c>
      <c r="C123" s="3" t="s">
        <v>99</v>
      </c>
      <c r="D123" s="3" t="str">
        <f>C123&amp;"_"&amp;E123</f>
        <v>LEIDEN_TQ_RPTEC_CSP2_H04</v>
      </c>
      <c r="E123" s="3" t="s">
        <v>256</v>
      </c>
      <c r="F123" s="3" t="s">
        <v>669</v>
      </c>
      <c r="G123" s="3" t="s">
        <v>626</v>
      </c>
      <c r="H123" s="3" t="s">
        <v>627</v>
      </c>
      <c r="I123" s="3" t="s">
        <v>628</v>
      </c>
      <c r="J123" s="3" t="s">
        <v>371</v>
      </c>
      <c r="K123" s="3" t="s">
        <v>671</v>
      </c>
      <c r="L123" s="3" t="s">
        <v>371</v>
      </c>
      <c r="M123" s="3">
        <v>24</v>
      </c>
      <c r="N123" s="3" t="str">
        <f>M123&amp;"hr"</f>
        <v>24hr</v>
      </c>
      <c r="O123" s="3" t="str">
        <f>P123&amp;"uM"</f>
        <v>20uM</v>
      </c>
      <c r="P123" s="3">
        <v>20</v>
      </c>
      <c r="Q123" s="3">
        <v>7</v>
      </c>
      <c r="R123">
        <v>2</v>
      </c>
      <c r="S123" s="3" t="str">
        <f>I123&amp;"_ "&amp;J123&amp;"_ "&amp;N123&amp;"_ "&amp;O123</f>
        <v>RPTEC-Jennings_ CSP_ 24hr_ 20uM</v>
      </c>
      <c r="T123" s="3" t="s">
        <v>633</v>
      </c>
      <c r="U123" s="3" t="s">
        <v>651</v>
      </c>
      <c r="V123" s="3">
        <v>3790339</v>
      </c>
      <c r="W123" s="3">
        <v>179.543318649046</v>
      </c>
      <c r="X123" s="3">
        <v>24</v>
      </c>
    </row>
    <row r="124" spans="1:24" x14ac:dyDescent="0.25">
      <c r="A124" s="3" t="s">
        <v>340</v>
      </c>
      <c r="B124" s="3" t="str">
        <f>H124&amp;"_ "&amp;I124&amp;"_ "&amp;J124&amp;"_ "&amp;N124&amp;"_ "&amp;O124&amp;"_R"&amp;R124</f>
        <v>Human_ RPTEC-Jennings_ CSP_ 24hr_ 20uM_R3</v>
      </c>
      <c r="C124" s="3" t="s">
        <v>272</v>
      </c>
      <c r="D124" s="3" t="str">
        <f>C124&amp;"_"&amp;E124</f>
        <v>LEIDEN_TQ_RPTEC_CSP3_G04</v>
      </c>
      <c r="E124" s="3" t="s">
        <v>236</v>
      </c>
      <c r="F124" s="3" t="s">
        <v>670</v>
      </c>
      <c r="G124" s="3" t="s">
        <v>626</v>
      </c>
      <c r="H124" s="3" t="s">
        <v>627</v>
      </c>
      <c r="I124" s="3" t="s">
        <v>628</v>
      </c>
      <c r="J124" s="3" t="s">
        <v>371</v>
      </c>
      <c r="K124" s="3" t="s">
        <v>671</v>
      </c>
      <c r="L124" s="3" t="s">
        <v>371</v>
      </c>
      <c r="M124" s="3">
        <v>24</v>
      </c>
      <c r="N124" s="3" t="str">
        <f>M124&amp;"hr"</f>
        <v>24hr</v>
      </c>
      <c r="O124" s="3" t="str">
        <f>P124&amp;"uM"</f>
        <v>20uM</v>
      </c>
      <c r="P124" s="3">
        <v>20</v>
      </c>
      <c r="Q124" s="3">
        <v>7</v>
      </c>
      <c r="R124">
        <v>3</v>
      </c>
      <c r="S124" s="3" t="str">
        <f>I124&amp;"_ "&amp;J124&amp;"_ "&amp;N124&amp;"_ "&amp;O124</f>
        <v>RPTEC-Jennings_ CSP_ 24hr_ 20uM</v>
      </c>
      <c r="T124" s="3" t="s">
        <v>633</v>
      </c>
      <c r="U124" s="3" t="s">
        <v>661</v>
      </c>
      <c r="V124" s="3">
        <v>4994530</v>
      </c>
      <c r="W124" s="3">
        <v>236.58424518023801</v>
      </c>
      <c r="X124" s="3">
        <v>24</v>
      </c>
    </row>
    <row r="125" spans="1:24" x14ac:dyDescent="0.25">
      <c r="A125" s="3" t="s">
        <v>199</v>
      </c>
      <c r="B125" s="3" t="str">
        <f>H125&amp;"_ "&amp;I125&amp;"_ "&amp;J125&amp;"_ "&amp;N125&amp;"_ "&amp;O125&amp;"_R"&amp;R125</f>
        <v>Human_ RPTEC-TERT1_ CSP_ 24hr_ 30uM_R1</v>
      </c>
      <c r="C125" s="3" t="s">
        <v>99</v>
      </c>
      <c r="D125" s="3" t="str">
        <f>C125&amp;"_"&amp;E125</f>
        <v>LEIDEN_TQ_RPTEC_CSP2_D03</v>
      </c>
      <c r="E125" s="3" t="s">
        <v>102</v>
      </c>
      <c r="F125" s="3" t="s">
        <v>669</v>
      </c>
      <c r="G125" s="3" t="s">
        <v>626</v>
      </c>
      <c r="H125" s="3" t="s">
        <v>627</v>
      </c>
      <c r="I125" s="3" t="s">
        <v>350</v>
      </c>
      <c r="J125" s="3" t="s">
        <v>371</v>
      </c>
      <c r="K125" s="3" t="s">
        <v>671</v>
      </c>
      <c r="L125" s="3" t="s">
        <v>371</v>
      </c>
      <c r="M125" s="3">
        <v>24</v>
      </c>
      <c r="N125" s="3" t="str">
        <f>M125&amp;"hr"</f>
        <v>24hr</v>
      </c>
      <c r="O125" s="3" t="str">
        <f>P125&amp;"uM"</f>
        <v>30uM</v>
      </c>
      <c r="P125" s="3">
        <v>30</v>
      </c>
      <c r="Q125" s="3">
        <v>8</v>
      </c>
      <c r="R125">
        <v>1</v>
      </c>
      <c r="S125" s="3" t="str">
        <f>I125&amp;"_ "&amp;J125&amp;"_ "&amp;N125&amp;"_ "&amp;O125</f>
        <v>RPTEC-TERT1_ CSP_ 24hr_ 30uM</v>
      </c>
      <c r="T125" s="3" t="s">
        <v>500</v>
      </c>
      <c r="U125" s="3" t="s">
        <v>501</v>
      </c>
      <c r="V125" s="3">
        <v>3656901</v>
      </c>
      <c r="W125" s="3">
        <v>173.22253801335799</v>
      </c>
      <c r="X125" s="3">
        <v>24</v>
      </c>
    </row>
    <row r="126" spans="1:24" x14ac:dyDescent="0.25">
      <c r="A126" s="3" t="s">
        <v>210</v>
      </c>
      <c r="B126" s="3" t="str">
        <f>H126&amp;"_ "&amp;I126&amp;"_ "&amp;J126&amp;"_ "&amp;N126&amp;"_ "&amp;O126&amp;"_R"&amp;R126</f>
        <v>Human_ RPTEC-TERT1_ CSP_ 24hr_ 30uM_R2</v>
      </c>
      <c r="C126" s="3" t="s">
        <v>99</v>
      </c>
      <c r="D126" s="3" t="str">
        <f>C126&amp;"_"&amp;E126</f>
        <v>LEIDEN_TQ_RPTEC_CSP2_E03</v>
      </c>
      <c r="E126" s="3" t="s">
        <v>124</v>
      </c>
      <c r="F126" s="3" t="s">
        <v>669</v>
      </c>
      <c r="G126" s="3" t="s">
        <v>626</v>
      </c>
      <c r="H126" s="3" t="s">
        <v>627</v>
      </c>
      <c r="I126" s="3" t="s">
        <v>350</v>
      </c>
      <c r="J126" s="3" t="s">
        <v>371</v>
      </c>
      <c r="K126" s="3" t="s">
        <v>671</v>
      </c>
      <c r="L126" s="3" t="s">
        <v>371</v>
      </c>
      <c r="M126" s="3">
        <v>24</v>
      </c>
      <c r="N126" s="3" t="str">
        <f>M126&amp;"hr"</f>
        <v>24hr</v>
      </c>
      <c r="O126" s="3" t="str">
        <f>P126&amp;"uM"</f>
        <v>30uM</v>
      </c>
      <c r="P126" s="3">
        <v>30</v>
      </c>
      <c r="Q126" s="3">
        <v>8</v>
      </c>
      <c r="R126">
        <v>2</v>
      </c>
      <c r="S126" s="3" t="str">
        <f>I126&amp;"_ "&amp;J126&amp;"_ "&amp;N126&amp;"_ "&amp;O126</f>
        <v>RPTEC-TERT1_ CSP_ 24hr_ 30uM</v>
      </c>
      <c r="T126" s="3" t="s">
        <v>500</v>
      </c>
      <c r="U126" s="3" t="s">
        <v>520</v>
      </c>
      <c r="V126" s="3">
        <v>4256920</v>
      </c>
      <c r="W126" s="3">
        <v>201.64464023494901</v>
      </c>
      <c r="X126" s="3">
        <v>24</v>
      </c>
    </row>
    <row r="127" spans="1:24" x14ac:dyDescent="0.25">
      <c r="A127" s="3" t="s">
        <v>221</v>
      </c>
      <c r="B127" s="3" t="str">
        <f>H127&amp;"_ "&amp;I127&amp;"_ "&amp;J127&amp;"_ "&amp;N127&amp;"_ "&amp;O127&amp;"_R"&amp;R127</f>
        <v>Human_ RPTEC-TERT1_ CSP_ 24hr_ 30uM_R3</v>
      </c>
      <c r="C127" s="3" t="s">
        <v>99</v>
      </c>
      <c r="D127" s="3" t="str">
        <f>C127&amp;"_"&amp;E127</f>
        <v>LEIDEN_TQ_RPTEC_CSP2_F03</v>
      </c>
      <c r="E127" s="3" t="s">
        <v>146</v>
      </c>
      <c r="F127" s="3" t="s">
        <v>669</v>
      </c>
      <c r="G127" s="3" t="s">
        <v>626</v>
      </c>
      <c r="H127" s="3" t="s">
        <v>627</v>
      </c>
      <c r="I127" s="3" t="s">
        <v>350</v>
      </c>
      <c r="J127" s="3" t="s">
        <v>371</v>
      </c>
      <c r="K127" s="3" t="s">
        <v>671</v>
      </c>
      <c r="L127" s="3" t="s">
        <v>371</v>
      </c>
      <c r="M127" s="3">
        <v>24</v>
      </c>
      <c r="N127" s="3" t="str">
        <f>M127&amp;"hr"</f>
        <v>24hr</v>
      </c>
      <c r="O127" s="3" t="str">
        <f>P127&amp;"uM"</f>
        <v>30uM</v>
      </c>
      <c r="P127" s="3">
        <v>30</v>
      </c>
      <c r="Q127" s="3">
        <v>8</v>
      </c>
      <c r="R127">
        <v>3</v>
      </c>
      <c r="S127" s="3" t="str">
        <f>I127&amp;"_ "&amp;J127&amp;"_ "&amp;N127&amp;"_ "&amp;O127</f>
        <v>RPTEC-TERT1_ CSP_ 24hr_ 30uM</v>
      </c>
      <c r="T127" s="3" t="s">
        <v>500</v>
      </c>
      <c r="U127" s="3" t="s">
        <v>531</v>
      </c>
      <c r="V127" s="3">
        <v>4398071</v>
      </c>
      <c r="W127" s="3">
        <v>208.33077542513399</v>
      </c>
      <c r="X127" s="3">
        <v>24</v>
      </c>
    </row>
    <row r="128" spans="1:24" x14ac:dyDescent="0.25">
      <c r="A128" s="3" t="s">
        <v>233</v>
      </c>
      <c r="B128" s="3" t="str">
        <f>H128&amp;"_ "&amp;I128&amp;"_ "&amp;J128&amp;"_ "&amp;N128&amp;"_ "&amp;O128&amp;"_R"&amp;R128</f>
        <v>Human_ RPTEC-Jennings_ CSP_ 24hr_ 30uM_R1</v>
      </c>
      <c r="C128" s="3" t="s">
        <v>99</v>
      </c>
      <c r="D128" s="3" t="str">
        <f>C128&amp;"_"&amp;E128</f>
        <v>LEIDEN_TQ_RPTEC_CSP2_G03</v>
      </c>
      <c r="E128" s="3" t="s">
        <v>234</v>
      </c>
      <c r="F128" s="3" t="s">
        <v>669</v>
      </c>
      <c r="G128" s="3" t="s">
        <v>626</v>
      </c>
      <c r="H128" s="3" t="s">
        <v>627</v>
      </c>
      <c r="I128" s="3" t="s">
        <v>628</v>
      </c>
      <c r="J128" s="3" t="s">
        <v>371</v>
      </c>
      <c r="K128" s="3" t="s">
        <v>671</v>
      </c>
      <c r="L128" s="3" t="s">
        <v>371</v>
      </c>
      <c r="M128" s="3">
        <v>24</v>
      </c>
      <c r="N128" s="3" t="str">
        <f>M128&amp;"hr"</f>
        <v>24hr</v>
      </c>
      <c r="O128" s="3" t="str">
        <f>P128&amp;"uM"</f>
        <v>30uM</v>
      </c>
      <c r="P128" s="3">
        <v>30</v>
      </c>
      <c r="Q128" s="3">
        <v>8</v>
      </c>
      <c r="R128">
        <v>1</v>
      </c>
      <c r="S128" s="3" t="str">
        <f>I128&amp;"_ "&amp;J128&amp;"_ "&amp;N128&amp;"_ "&amp;O128</f>
        <v>RPTEC-Jennings_ CSP_ 24hr_ 30uM</v>
      </c>
      <c r="T128" s="3" t="s">
        <v>631</v>
      </c>
      <c r="U128" s="3" t="s">
        <v>632</v>
      </c>
      <c r="V128" s="3">
        <v>5812889</v>
      </c>
      <c r="W128" s="3">
        <v>275.34882288854197</v>
      </c>
      <c r="X128" s="3">
        <v>24</v>
      </c>
    </row>
    <row r="129" spans="1:24" x14ac:dyDescent="0.25">
      <c r="A129" s="3" t="s">
        <v>253</v>
      </c>
      <c r="B129" s="3" t="str">
        <f>H129&amp;"_ "&amp;I129&amp;"_ "&amp;J129&amp;"_ "&amp;N129&amp;"_ "&amp;O129&amp;"_R"&amp;R129</f>
        <v>Human_ RPTEC-Jennings_ CSP_ 24hr_ 30uM_R2</v>
      </c>
      <c r="C129" s="3" t="s">
        <v>99</v>
      </c>
      <c r="D129" s="3" t="str">
        <f>C129&amp;"_"&amp;E129</f>
        <v>LEIDEN_TQ_RPTEC_CSP2_H03</v>
      </c>
      <c r="E129" s="3" t="s">
        <v>254</v>
      </c>
      <c r="F129" s="3" t="s">
        <v>669</v>
      </c>
      <c r="G129" s="3" t="s">
        <v>626</v>
      </c>
      <c r="H129" s="3" t="s">
        <v>627</v>
      </c>
      <c r="I129" s="3" t="s">
        <v>628</v>
      </c>
      <c r="J129" s="3" t="s">
        <v>371</v>
      </c>
      <c r="K129" s="3" t="s">
        <v>671</v>
      </c>
      <c r="L129" s="3" t="s">
        <v>371</v>
      </c>
      <c r="M129" s="3">
        <v>24</v>
      </c>
      <c r="N129" s="3" t="str">
        <f>M129&amp;"hr"</f>
        <v>24hr</v>
      </c>
      <c r="O129" s="3" t="str">
        <f>P129&amp;"uM"</f>
        <v>30uM</v>
      </c>
      <c r="P129" s="3">
        <v>30</v>
      </c>
      <c r="Q129" s="3">
        <v>8</v>
      </c>
      <c r="R129">
        <v>2</v>
      </c>
      <c r="S129" s="3" t="str">
        <f>I129&amp;"_ "&amp;J129&amp;"_ "&amp;N129&amp;"_ "&amp;O129</f>
        <v>RPTEC-Jennings_ CSP_ 24hr_ 30uM</v>
      </c>
      <c r="T129" s="3" t="s">
        <v>631</v>
      </c>
      <c r="U129" s="3" t="s">
        <v>650</v>
      </c>
      <c r="V129" s="3">
        <v>3537779</v>
      </c>
      <c r="W129" s="3">
        <v>167.57988726256499</v>
      </c>
      <c r="X129" s="3">
        <v>24</v>
      </c>
    </row>
    <row r="130" spans="1:24" x14ac:dyDescent="0.25">
      <c r="A130" s="3" t="s">
        <v>339</v>
      </c>
      <c r="B130" s="3" t="str">
        <f>H130&amp;"_ "&amp;I130&amp;"_ "&amp;J130&amp;"_ "&amp;N130&amp;"_ "&amp;O130&amp;"_R"&amp;R130</f>
        <v>Human_ RPTEC-Jennings_ CSP_ 24hr_ 30uM_R3</v>
      </c>
      <c r="C130" s="3" t="s">
        <v>272</v>
      </c>
      <c r="D130" s="3" t="str">
        <f>C130&amp;"_"&amp;E130</f>
        <v>LEIDEN_TQ_RPTEC_CSP3_G03</v>
      </c>
      <c r="E130" s="3" t="s">
        <v>234</v>
      </c>
      <c r="F130" s="3" t="s">
        <v>670</v>
      </c>
      <c r="G130" s="3" t="s">
        <v>626</v>
      </c>
      <c r="H130" s="3" t="s">
        <v>627</v>
      </c>
      <c r="I130" s="3" t="s">
        <v>628</v>
      </c>
      <c r="J130" s="3" t="s">
        <v>371</v>
      </c>
      <c r="K130" s="3" t="s">
        <v>671</v>
      </c>
      <c r="L130" s="3" t="s">
        <v>371</v>
      </c>
      <c r="M130" s="3">
        <v>24</v>
      </c>
      <c r="N130" s="3" t="str">
        <f>M130&amp;"hr"</f>
        <v>24hr</v>
      </c>
      <c r="O130" s="3" t="str">
        <f>P130&amp;"uM"</f>
        <v>30uM</v>
      </c>
      <c r="P130" s="3">
        <v>30</v>
      </c>
      <c r="Q130" s="3">
        <v>8</v>
      </c>
      <c r="R130">
        <v>3</v>
      </c>
      <c r="S130" s="3" t="str">
        <f>I130&amp;"_ "&amp;J130&amp;"_ "&amp;N130&amp;"_ "&amp;O130</f>
        <v>RPTEC-Jennings_ CSP_ 24hr_ 30uM</v>
      </c>
      <c r="T130" s="3" t="s">
        <v>631</v>
      </c>
      <c r="U130" s="3" t="s">
        <v>660</v>
      </c>
      <c r="V130" s="3">
        <v>3341292</v>
      </c>
      <c r="W130" s="3">
        <v>158.27255932925999</v>
      </c>
      <c r="X130" s="3">
        <v>24</v>
      </c>
    </row>
    <row r="131" spans="1:24" x14ac:dyDescent="0.25">
      <c r="A131" s="3" t="s">
        <v>198</v>
      </c>
      <c r="B131" s="3" t="str">
        <f>H131&amp;"_ "&amp;I131&amp;"_ "&amp;J131&amp;"_ "&amp;N131&amp;"_ "&amp;O131&amp;"_R"&amp;R131</f>
        <v>Human_ RPTEC-TERT1_ CSP_ 24hr_ 50uM_R1</v>
      </c>
      <c r="C131" s="3" t="s">
        <v>99</v>
      </c>
      <c r="D131" s="3" t="str">
        <f>C131&amp;"_"&amp;E131</f>
        <v>LEIDEN_TQ_RPTEC_CSP2_D02</v>
      </c>
      <c r="E131" s="3" t="s">
        <v>100</v>
      </c>
      <c r="F131" s="3" t="s">
        <v>669</v>
      </c>
      <c r="G131" s="3" t="s">
        <v>626</v>
      </c>
      <c r="H131" s="3" t="s">
        <v>627</v>
      </c>
      <c r="I131" s="3" t="s">
        <v>350</v>
      </c>
      <c r="J131" s="3" t="s">
        <v>371</v>
      </c>
      <c r="K131" s="3" t="s">
        <v>671</v>
      </c>
      <c r="L131" s="3" t="s">
        <v>371</v>
      </c>
      <c r="M131" s="3">
        <v>24</v>
      </c>
      <c r="N131" s="3" t="str">
        <f>M131&amp;"hr"</f>
        <v>24hr</v>
      </c>
      <c r="O131" s="3" t="str">
        <f>P131&amp;"uM"</f>
        <v>50uM</v>
      </c>
      <c r="P131" s="3">
        <v>50</v>
      </c>
      <c r="Q131" s="3">
        <v>9</v>
      </c>
      <c r="R131">
        <v>1</v>
      </c>
      <c r="S131" s="3" t="str">
        <f>I131&amp;"_ "&amp;J131&amp;"_ "&amp;N131&amp;"_ "&amp;O131</f>
        <v>RPTEC-TERT1_ CSP_ 24hr_ 50uM</v>
      </c>
      <c r="T131" s="3" t="s">
        <v>498</v>
      </c>
      <c r="U131" s="3" t="s">
        <v>499</v>
      </c>
      <c r="V131" s="3">
        <v>4027306</v>
      </c>
      <c r="W131" s="3">
        <v>190.768130358581</v>
      </c>
      <c r="X131" s="3">
        <v>24</v>
      </c>
    </row>
    <row r="132" spans="1:24" x14ac:dyDescent="0.25">
      <c r="A132" s="3" t="s">
        <v>209</v>
      </c>
      <c r="B132" s="3" t="str">
        <f>H132&amp;"_ "&amp;I132&amp;"_ "&amp;J132&amp;"_ "&amp;N132&amp;"_ "&amp;O132&amp;"_R"&amp;R132</f>
        <v>Human_ RPTEC-TERT1_ CSP_ 24hr_ 50uM_R2</v>
      </c>
      <c r="C132" s="3" t="s">
        <v>99</v>
      </c>
      <c r="D132" s="3" t="str">
        <f>C132&amp;"_"&amp;E132</f>
        <v>LEIDEN_TQ_RPTEC_CSP2_E02</v>
      </c>
      <c r="E132" s="3" t="s">
        <v>122</v>
      </c>
      <c r="F132" s="3" t="s">
        <v>669</v>
      </c>
      <c r="G132" s="3" t="s">
        <v>626</v>
      </c>
      <c r="H132" s="3" t="s">
        <v>627</v>
      </c>
      <c r="I132" s="3" t="s">
        <v>350</v>
      </c>
      <c r="J132" s="3" t="s">
        <v>371</v>
      </c>
      <c r="K132" s="3" t="s">
        <v>671</v>
      </c>
      <c r="L132" s="3" t="s">
        <v>371</v>
      </c>
      <c r="M132" s="3">
        <v>24</v>
      </c>
      <c r="N132" s="3" t="str">
        <f>M132&amp;"hr"</f>
        <v>24hr</v>
      </c>
      <c r="O132" s="3" t="str">
        <f>P132&amp;"uM"</f>
        <v>50uM</v>
      </c>
      <c r="P132" s="3">
        <v>50</v>
      </c>
      <c r="Q132" s="3">
        <v>9</v>
      </c>
      <c r="R132">
        <v>2</v>
      </c>
      <c r="S132" s="3" t="str">
        <f>I132&amp;"_ "&amp;J132&amp;"_ "&amp;N132&amp;"_ "&amp;O132</f>
        <v>RPTEC-TERT1_ CSP_ 24hr_ 50uM</v>
      </c>
      <c r="T132" s="3" t="s">
        <v>498</v>
      </c>
      <c r="U132" s="3" t="s">
        <v>519</v>
      </c>
      <c r="V132" s="3">
        <v>5466897</v>
      </c>
      <c r="W132" s="3">
        <v>258.95964189285201</v>
      </c>
      <c r="X132" s="3">
        <v>24</v>
      </c>
    </row>
    <row r="133" spans="1:24" x14ac:dyDescent="0.25">
      <c r="A133" s="3" t="s">
        <v>220</v>
      </c>
      <c r="B133" s="3" t="str">
        <f>H133&amp;"_ "&amp;I133&amp;"_ "&amp;J133&amp;"_ "&amp;N133&amp;"_ "&amp;O133&amp;"_R"&amp;R133</f>
        <v>Human_ RPTEC-TERT1_ CSP_ 24hr_ 50uM_R3</v>
      </c>
      <c r="C133" s="3" t="s">
        <v>99</v>
      </c>
      <c r="D133" s="3" t="str">
        <f>C133&amp;"_"&amp;E133</f>
        <v>LEIDEN_TQ_RPTEC_CSP2_F02</v>
      </c>
      <c r="E133" s="3" t="s">
        <v>144</v>
      </c>
      <c r="F133" s="3" t="s">
        <v>669</v>
      </c>
      <c r="G133" s="3" t="s">
        <v>626</v>
      </c>
      <c r="H133" s="3" t="s">
        <v>627</v>
      </c>
      <c r="I133" s="3" t="s">
        <v>350</v>
      </c>
      <c r="J133" s="3" t="s">
        <v>371</v>
      </c>
      <c r="K133" s="3" t="s">
        <v>671</v>
      </c>
      <c r="L133" s="3" t="s">
        <v>371</v>
      </c>
      <c r="M133" s="3">
        <v>24</v>
      </c>
      <c r="N133" s="3" t="str">
        <f>M133&amp;"hr"</f>
        <v>24hr</v>
      </c>
      <c r="O133" s="3" t="str">
        <f>P133&amp;"uM"</f>
        <v>50uM</v>
      </c>
      <c r="P133" s="3">
        <v>50</v>
      </c>
      <c r="Q133" s="3">
        <v>9</v>
      </c>
      <c r="R133">
        <v>3</v>
      </c>
      <c r="S133" s="3" t="str">
        <f>I133&amp;"_ "&amp;J133&amp;"_ "&amp;N133&amp;"_ "&amp;O133</f>
        <v>RPTEC-TERT1_ CSP_ 24hr_ 50uM</v>
      </c>
      <c r="T133" s="3" t="s">
        <v>498</v>
      </c>
      <c r="U133" s="3" t="s">
        <v>530</v>
      </c>
      <c r="V133" s="3">
        <v>3565975</v>
      </c>
      <c r="W133" s="3">
        <v>168.91549429207501</v>
      </c>
      <c r="X133" s="3">
        <v>24</v>
      </c>
    </row>
    <row r="134" spans="1:24" x14ac:dyDescent="0.25">
      <c r="A134" s="3" t="s">
        <v>231</v>
      </c>
      <c r="B134" s="3" t="str">
        <f>H134&amp;"_ "&amp;I134&amp;"_ "&amp;J134&amp;"_ "&amp;N134&amp;"_ "&amp;O134&amp;"_R"&amp;R134</f>
        <v>Human_ RPTEC-Jennings_ CSP_ 24hr_ 50uM_R1</v>
      </c>
      <c r="C134" s="3" t="s">
        <v>99</v>
      </c>
      <c r="D134" s="3" t="str">
        <f>C134&amp;"_"&amp;E134</f>
        <v>LEIDEN_TQ_RPTEC_CSP2_G02</v>
      </c>
      <c r="E134" s="3" t="s">
        <v>232</v>
      </c>
      <c r="F134" s="3" t="s">
        <v>669</v>
      </c>
      <c r="G134" s="3" t="s">
        <v>626</v>
      </c>
      <c r="H134" s="3" t="s">
        <v>627</v>
      </c>
      <c r="I134" s="3" t="s">
        <v>628</v>
      </c>
      <c r="J134" s="3" t="s">
        <v>371</v>
      </c>
      <c r="K134" s="3" t="s">
        <v>671</v>
      </c>
      <c r="L134" s="3" t="s">
        <v>371</v>
      </c>
      <c r="M134" s="3">
        <v>24</v>
      </c>
      <c r="N134" s="3" t="str">
        <f>M134&amp;"hr"</f>
        <v>24hr</v>
      </c>
      <c r="O134" s="3" t="str">
        <f>P134&amp;"uM"</f>
        <v>50uM</v>
      </c>
      <c r="P134" s="3">
        <v>50</v>
      </c>
      <c r="Q134" s="3">
        <v>9</v>
      </c>
      <c r="R134">
        <v>1</v>
      </c>
      <c r="S134" s="3" t="str">
        <f>I134&amp;"_ "&amp;J134&amp;"_ "&amp;N134&amp;"_ "&amp;O134</f>
        <v>RPTEC-Jennings_ CSP_ 24hr_ 50uM</v>
      </c>
      <c r="T134" s="3" t="s">
        <v>629</v>
      </c>
      <c r="U134" s="3" t="s">
        <v>630</v>
      </c>
      <c r="V134" s="3">
        <v>4807129</v>
      </c>
      <c r="W134" s="3">
        <v>227.70730898583699</v>
      </c>
      <c r="X134" s="3">
        <v>24</v>
      </c>
    </row>
    <row r="135" spans="1:24" x14ac:dyDescent="0.25">
      <c r="A135" s="3" t="s">
        <v>251</v>
      </c>
      <c r="B135" s="3" t="str">
        <f>H135&amp;"_ "&amp;I135&amp;"_ "&amp;J135&amp;"_ "&amp;N135&amp;"_ "&amp;O135&amp;"_R"&amp;R135</f>
        <v>Human_ RPTEC-Jennings_ CSP_ 24hr_ 50uM_R2</v>
      </c>
      <c r="C135" s="3" t="s">
        <v>99</v>
      </c>
      <c r="D135" s="3" t="str">
        <f>C135&amp;"_"&amp;E135</f>
        <v>LEIDEN_TQ_RPTEC_CSP2_H02</v>
      </c>
      <c r="E135" s="3" t="s">
        <v>252</v>
      </c>
      <c r="F135" s="3" t="s">
        <v>669</v>
      </c>
      <c r="G135" s="3" t="s">
        <v>626</v>
      </c>
      <c r="H135" s="3" t="s">
        <v>627</v>
      </c>
      <c r="I135" s="3" t="s">
        <v>628</v>
      </c>
      <c r="J135" s="3" t="s">
        <v>371</v>
      </c>
      <c r="K135" s="3" t="s">
        <v>671</v>
      </c>
      <c r="L135" s="3" t="s">
        <v>371</v>
      </c>
      <c r="M135" s="3">
        <v>24</v>
      </c>
      <c r="N135" s="3" t="str">
        <f>M135&amp;"hr"</f>
        <v>24hr</v>
      </c>
      <c r="O135" s="3" t="str">
        <f>P135&amp;"uM"</f>
        <v>50uM</v>
      </c>
      <c r="P135" s="3">
        <v>50</v>
      </c>
      <c r="Q135" s="3">
        <v>9</v>
      </c>
      <c r="R135">
        <v>2</v>
      </c>
      <c r="S135" s="3" t="str">
        <f>I135&amp;"_ "&amp;J135&amp;"_ "&amp;N135&amp;"_ "&amp;O135</f>
        <v>RPTEC-Jennings_ CSP_ 24hr_ 50uM</v>
      </c>
      <c r="T135" s="3" t="s">
        <v>629</v>
      </c>
      <c r="U135" s="3" t="s">
        <v>649</v>
      </c>
      <c r="V135" s="3">
        <v>3390621</v>
      </c>
      <c r="W135" s="3">
        <v>160.60920846951799</v>
      </c>
      <c r="X135" s="3">
        <v>24</v>
      </c>
    </row>
    <row r="136" spans="1:24" x14ac:dyDescent="0.25">
      <c r="A136" s="3" t="s">
        <v>338</v>
      </c>
      <c r="B136" s="3" t="str">
        <f>H136&amp;"_ "&amp;I136&amp;"_ "&amp;J136&amp;"_ "&amp;N136&amp;"_ "&amp;O136&amp;"_R"&amp;R136</f>
        <v>Human_ RPTEC-Jennings_ CSP_ 24hr_ 50uM_R3</v>
      </c>
      <c r="C136" s="3" t="s">
        <v>272</v>
      </c>
      <c r="D136" s="3" t="str">
        <f>C136&amp;"_"&amp;E136</f>
        <v>LEIDEN_TQ_RPTEC_CSP3_G02</v>
      </c>
      <c r="E136" s="3" t="s">
        <v>232</v>
      </c>
      <c r="F136" s="3" t="s">
        <v>670</v>
      </c>
      <c r="G136" s="3" t="s">
        <v>626</v>
      </c>
      <c r="H136" s="3" t="s">
        <v>627</v>
      </c>
      <c r="I136" s="3" t="s">
        <v>628</v>
      </c>
      <c r="J136" s="3" t="s">
        <v>371</v>
      </c>
      <c r="K136" s="3" t="s">
        <v>671</v>
      </c>
      <c r="L136" s="3" t="s">
        <v>371</v>
      </c>
      <c r="M136" s="3">
        <v>24</v>
      </c>
      <c r="N136" s="3" t="str">
        <f>M136&amp;"hr"</f>
        <v>24hr</v>
      </c>
      <c r="O136" s="3" t="str">
        <f>P136&amp;"uM"</f>
        <v>50uM</v>
      </c>
      <c r="P136" s="3">
        <v>50</v>
      </c>
      <c r="Q136" s="3">
        <v>9</v>
      </c>
      <c r="R136">
        <v>3</v>
      </c>
      <c r="S136" s="3" t="str">
        <f>I136&amp;"_ "&amp;J136&amp;"_ "&amp;N136&amp;"_ "&amp;O136</f>
        <v>RPTEC-Jennings_ CSP_ 24hr_ 50uM</v>
      </c>
      <c r="T136" s="3" t="s">
        <v>629</v>
      </c>
      <c r="U136" s="3" t="s">
        <v>659</v>
      </c>
      <c r="V136" s="3">
        <v>3236723</v>
      </c>
      <c r="W136" s="3">
        <v>153.31926483823599</v>
      </c>
      <c r="X136" s="3">
        <v>24</v>
      </c>
    </row>
    <row r="137" spans="1:24" x14ac:dyDescent="0.25">
      <c r="A137" s="3" t="s">
        <v>280</v>
      </c>
      <c r="B137" s="3" t="str">
        <f>H137&amp;"_ "&amp;I137&amp;"_ "&amp;J137&amp;"_ "&amp;N137&amp;"_ "&amp;O137&amp;"_R"&amp;R137</f>
        <v>Human_ RPTEC-TERT1_ CSP_ 48hr_ 0.1uM_R1</v>
      </c>
      <c r="C137" s="3" t="s">
        <v>272</v>
      </c>
      <c r="D137" s="3" t="str">
        <f>C137&amp;"_"&amp;E137</f>
        <v>LEIDEN_TQ_RPTEC_CSP3_A10</v>
      </c>
      <c r="E137" s="3" t="s">
        <v>49</v>
      </c>
      <c r="F137" s="3" t="s">
        <v>670</v>
      </c>
      <c r="G137" s="3" t="s">
        <v>626</v>
      </c>
      <c r="H137" s="3" t="s">
        <v>627</v>
      </c>
      <c r="I137" s="3" t="s">
        <v>350</v>
      </c>
      <c r="J137" s="3" t="s">
        <v>371</v>
      </c>
      <c r="K137" s="3" t="s">
        <v>671</v>
      </c>
      <c r="L137" s="3" t="s">
        <v>371</v>
      </c>
      <c r="M137" s="3">
        <v>48</v>
      </c>
      <c r="N137" s="3" t="str">
        <f>M137&amp;"hr"</f>
        <v>48hr</v>
      </c>
      <c r="O137" s="3" t="str">
        <f>P137&amp;"uM"</f>
        <v>0.1uM</v>
      </c>
      <c r="P137" s="3">
        <v>0.1</v>
      </c>
      <c r="Q137" s="3">
        <v>1</v>
      </c>
      <c r="R137">
        <v>1</v>
      </c>
      <c r="S137" s="3" t="str">
        <f>I137&amp;"_ "&amp;J137&amp;"_ "&amp;N137&amp;"_ "&amp;O137</f>
        <v>RPTEC-TERT1_ CSP_ 48hr_ 0.1uM</v>
      </c>
      <c r="T137" s="3" t="s">
        <v>556</v>
      </c>
      <c r="U137" s="3" t="s">
        <v>557</v>
      </c>
      <c r="V137" s="3">
        <v>2145504</v>
      </c>
      <c r="W137" s="3">
        <v>101.629671735114</v>
      </c>
      <c r="X137" s="3">
        <v>48</v>
      </c>
    </row>
    <row r="138" spans="1:24" x14ac:dyDescent="0.25">
      <c r="A138" s="3" t="s">
        <v>291</v>
      </c>
      <c r="B138" s="3" t="str">
        <f>H138&amp;"_ "&amp;I138&amp;"_ "&amp;J138&amp;"_ "&amp;N138&amp;"_ "&amp;O138&amp;"_R"&amp;R138</f>
        <v>Human_ RPTEC-TERT1_ CSP_ 48hr_ 0.1uM_R2</v>
      </c>
      <c r="C138" s="3" t="s">
        <v>272</v>
      </c>
      <c r="D138" s="3" t="str">
        <f>C138&amp;"_"&amp;E138</f>
        <v>LEIDEN_TQ_RPTEC_CSP3_B10</v>
      </c>
      <c r="E138" s="3" t="s">
        <v>71</v>
      </c>
      <c r="F138" s="3" t="s">
        <v>670</v>
      </c>
      <c r="G138" s="3" t="s">
        <v>626</v>
      </c>
      <c r="H138" s="3" t="s">
        <v>627</v>
      </c>
      <c r="I138" s="3" t="s">
        <v>350</v>
      </c>
      <c r="J138" s="3" t="s">
        <v>371</v>
      </c>
      <c r="K138" s="3" t="s">
        <v>671</v>
      </c>
      <c r="L138" s="3" t="s">
        <v>371</v>
      </c>
      <c r="M138" s="3">
        <v>48</v>
      </c>
      <c r="N138" s="3" t="str">
        <f>M138&amp;"hr"</f>
        <v>48hr</v>
      </c>
      <c r="O138" s="3" t="str">
        <f>P138&amp;"uM"</f>
        <v>0.1uM</v>
      </c>
      <c r="P138" s="3">
        <v>0.1</v>
      </c>
      <c r="Q138" s="3">
        <v>1</v>
      </c>
      <c r="R138">
        <v>2</v>
      </c>
      <c r="S138" s="3" t="str">
        <f>I138&amp;"_ "&amp;J138&amp;"_ "&amp;N138&amp;"_ "&amp;O138</f>
        <v>RPTEC-TERT1_ CSP_ 48hr_ 0.1uM</v>
      </c>
      <c r="T138" s="3" t="s">
        <v>556</v>
      </c>
      <c r="U138" s="3" t="s">
        <v>569</v>
      </c>
      <c r="V138" s="3">
        <v>4699417</v>
      </c>
      <c r="W138" s="3">
        <v>222.605134763867</v>
      </c>
      <c r="X138" s="3">
        <v>48</v>
      </c>
    </row>
    <row r="139" spans="1:24" x14ac:dyDescent="0.25">
      <c r="A139" s="3" t="s">
        <v>302</v>
      </c>
      <c r="B139" s="3" t="str">
        <f>H139&amp;"_ "&amp;I139&amp;"_ "&amp;J139&amp;"_ "&amp;N139&amp;"_ "&amp;O139&amp;"_R"&amp;R139</f>
        <v>Human_ RPTEC-TERT1_ CSP_ 48hr_ 0.1uM_R3</v>
      </c>
      <c r="C139" s="3" t="s">
        <v>272</v>
      </c>
      <c r="D139" s="3" t="str">
        <f>C139&amp;"_"&amp;E139</f>
        <v>LEIDEN_TQ_RPTEC_CSP3_C10</v>
      </c>
      <c r="E139" s="3" t="s">
        <v>93</v>
      </c>
      <c r="F139" s="3" t="s">
        <v>670</v>
      </c>
      <c r="G139" s="3" t="s">
        <v>626</v>
      </c>
      <c r="H139" s="3" t="s">
        <v>627</v>
      </c>
      <c r="I139" s="3" t="s">
        <v>350</v>
      </c>
      <c r="J139" s="3" t="s">
        <v>371</v>
      </c>
      <c r="K139" s="3" t="s">
        <v>671</v>
      </c>
      <c r="L139" s="3" t="s">
        <v>371</v>
      </c>
      <c r="M139" s="3">
        <v>48</v>
      </c>
      <c r="N139" s="3" t="str">
        <f>M139&amp;"hr"</f>
        <v>48hr</v>
      </c>
      <c r="O139" s="3" t="str">
        <f>P139&amp;"uM"</f>
        <v>0.1uM</v>
      </c>
      <c r="P139" s="3">
        <v>0.1</v>
      </c>
      <c r="Q139" s="3">
        <v>1</v>
      </c>
      <c r="R139">
        <v>3</v>
      </c>
      <c r="S139" s="3" t="str">
        <f>I139&amp;"_ "&amp;J139&amp;"_ "&amp;N139&amp;"_ "&amp;O139</f>
        <v>RPTEC-TERT1_ CSP_ 48hr_ 0.1uM</v>
      </c>
      <c r="T139" s="3" t="s">
        <v>556</v>
      </c>
      <c r="U139" s="3" t="s">
        <v>557</v>
      </c>
      <c r="V139" s="3">
        <v>2943116</v>
      </c>
      <c r="W139" s="3">
        <v>139.41149163943001</v>
      </c>
      <c r="X139" s="3">
        <v>48</v>
      </c>
    </row>
    <row r="140" spans="1:24" x14ac:dyDescent="0.25">
      <c r="A140" s="3" t="s">
        <v>279</v>
      </c>
      <c r="B140" s="3" t="str">
        <f>H140&amp;"_ "&amp;I140&amp;"_ "&amp;J140&amp;"_ "&amp;N140&amp;"_ "&amp;O140&amp;"_R"&amp;R140</f>
        <v>Human_ RPTEC-TERT1_ CSP_ 48hr_ 0.5uM_R1</v>
      </c>
      <c r="C140" s="3" t="s">
        <v>272</v>
      </c>
      <c r="D140" s="3" t="str">
        <f>C140&amp;"_"&amp;E140</f>
        <v>LEIDEN_TQ_RPTEC_CSP3_A09</v>
      </c>
      <c r="E140" s="3" t="s">
        <v>47</v>
      </c>
      <c r="F140" s="3" t="s">
        <v>670</v>
      </c>
      <c r="G140" s="3" t="s">
        <v>626</v>
      </c>
      <c r="H140" s="3" t="s">
        <v>627</v>
      </c>
      <c r="I140" s="3" t="s">
        <v>350</v>
      </c>
      <c r="J140" s="3" t="s">
        <v>371</v>
      </c>
      <c r="K140" s="3" t="s">
        <v>671</v>
      </c>
      <c r="L140" s="3" t="s">
        <v>371</v>
      </c>
      <c r="M140" s="3">
        <v>48</v>
      </c>
      <c r="N140" s="3" t="str">
        <f>M140&amp;"hr"</f>
        <v>48hr</v>
      </c>
      <c r="O140" s="3" t="str">
        <f>P140&amp;"uM"</f>
        <v>0.5uM</v>
      </c>
      <c r="P140" s="3">
        <v>0.5</v>
      </c>
      <c r="Q140" s="3">
        <v>2</v>
      </c>
      <c r="R140">
        <v>1</v>
      </c>
      <c r="S140" s="3" t="str">
        <f>I140&amp;"_ "&amp;J140&amp;"_ "&amp;N140&amp;"_ "&amp;O140</f>
        <v>RPTEC-TERT1_ CSP_ 48hr_ 0.5uM</v>
      </c>
      <c r="T140" s="3" t="s">
        <v>554</v>
      </c>
      <c r="U140" s="3" t="s">
        <v>555</v>
      </c>
      <c r="V140" s="3">
        <v>2303463</v>
      </c>
      <c r="W140" s="3">
        <v>109.111979536734</v>
      </c>
      <c r="X140" s="3">
        <v>48</v>
      </c>
    </row>
    <row r="141" spans="1:24" x14ac:dyDescent="0.25">
      <c r="A141" s="3" t="s">
        <v>290</v>
      </c>
      <c r="B141" s="3" t="str">
        <f>H141&amp;"_ "&amp;I141&amp;"_ "&amp;J141&amp;"_ "&amp;N141&amp;"_ "&amp;O141&amp;"_R"&amp;R141</f>
        <v>Human_ RPTEC-TERT1_ CSP_ 48hr_ 0.5uM_R2</v>
      </c>
      <c r="C141" s="3" t="s">
        <v>272</v>
      </c>
      <c r="D141" s="3" t="str">
        <f>C141&amp;"_"&amp;E141</f>
        <v>LEIDEN_TQ_RPTEC_CSP3_B09</v>
      </c>
      <c r="E141" s="3" t="s">
        <v>69</v>
      </c>
      <c r="F141" s="3" t="s">
        <v>670</v>
      </c>
      <c r="G141" s="3" t="s">
        <v>626</v>
      </c>
      <c r="H141" s="3" t="s">
        <v>627</v>
      </c>
      <c r="I141" s="3" t="s">
        <v>350</v>
      </c>
      <c r="J141" s="3" t="s">
        <v>371</v>
      </c>
      <c r="K141" s="3" t="s">
        <v>671</v>
      </c>
      <c r="L141" s="3" t="s">
        <v>371</v>
      </c>
      <c r="M141" s="3">
        <v>48</v>
      </c>
      <c r="N141" s="3" t="str">
        <f>M141&amp;"hr"</f>
        <v>48hr</v>
      </c>
      <c r="O141" s="3" t="str">
        <f>P141&amp;"uM"</f>
        <v>0.5uM</v>
      </c>
      <c r="P141" s="3">
        <v>0.5</v>
      </c>
      <c r="Q141" s="3">
        <v>2</v>
      </c>
      <c r="R141">
        <v>2</v>
      </c>
      <c r="S141" s="3" t="str">
        <f>I141&amp;"_ "&amp;J141&amp;"_ "&amp;N141&amp;"_ "&amp;O141</f>
        <v>RPTEC-TERT1_ CSP_ 48hr_ 0.5uM</v>
      </c>
      <c r="T141" s="3" t="s">
        <v>554</v>
      </c>
      <c r="U141" s="3" t="s">
        <v>568</v>
      </c>
      <c r="V141" s="3">
        <v>3501806</v>
      </c>
      <c r="W141" s="3">
        <v>165.87589408365301</v>
      </c>
      <c r="X141" s="3">
        <v>48</v>
      </c>
    </row>
    <row r="142" spans="1:24" x14ac:dyDescent="0.25">
      <c r="A142" s="3" t="s">
        <v>301</v>
      </c>
      <c r="B142" s="3" t="str">
        <f>H142&amp;"_ "&amp;I142&amp;"_ "&amp;J142&amp;"_ "&amp;N142&amp;"_ "&amp;O142&amp;"_R"&amp;R142</f>
        <v>Human_ RPTEC-TERT1_ CSP_ 48hr_ 0.5uM_R3</v>
      </c>
      <c r="C142" s="3" t="s">
        <v>272</v>
      </c>
      <c r="D142" s="3" t="str">
        <f>C142&amp;"_"&amp;E142</f>
        <v>LEIDEN_TQ_RPTEC_CSP3_C09</v>
      </c>
      <c r="E142" s="3" t="s">
        <v>91</v>
      </c>
      <c r="F142" s="3" t="s">
        <v>670</v>
      </c>
      <c r="G142" s="3" t="s">
        <v>626</v>
      </c>
      <c r="H142" s="3" t="s">
        <v>627</v>
      </c>
      <c r="I142" s="3" t="s">
        <v>350</v>
      </c>
      <c r="J142" s="3" t="s">
        <v>371</v>
      </c>
      <c r="K142" s="3" t="s">
        <v>671</v>
      </c>
      <c r="L142" s="3" t="s">
        <v>371</v>
      </c>
      <c r="M142" s="3">
        <v>48</v>
      </c>
      <c r="N142" s="3" t="str">
        <f>M142&amp;"hr"</f>
        <v>48hr</v>
      </c>
      <c r="O142" s="3" t="str">
        <f>P142&amp;"uM"</f>
        <v>0.5uM</v>
      </c>
      <c r="P142" s="3">
        <v>0.5</v>
      </c>
      <c r="Q142" s="3">
        <v>2</v>
      </c>
      <c r="R142">
        <v>3</v>
      </c>
      <c r="S142" s="3" t="str">
        <f>I142&amp;"_ "&amp;J142&amp;"_ "&amp;N142&amp;"_ "&amp;O142</f>
        <v>RPTEC-TERT1_ CSP_ 48hr_ 0.5uM</v>
      </c>
      <c r="T142" s="3" t="s">
        <v>554</v>
      </c>
      <c r="U142" s="3" t="s">
        <v>579</v>
      </c>
      <c r="V142" s="3">
        <v>3908425</v>
      </c>
      <c r="W142" s="3">
        <v>185.13689545734499</v>
      </c>
      <c r="X142" s="3">
        <v>48</v>
      </c>
    </row>
    <row r="143" spans="1:24" x14ac:dyDescent="0.25">
      <c r="A143" s="3" t="s">
        <v>278</v>
      </c>
      <c r="B143" s="3" t="str">
        <f>H143&amp;"_ "&amp;I143&amp;"_ "&amp;J143&amp;"_ "&amp;N143&amp;"_ "&amp;O143&amp;"_R"&amp;R143</f>
        <v>Human_ RPTEC-TERT1_ CSP_ 48hr_ 1uM_R1</v>
      </c>
      <c r="C143" s="3" t="s">
        <v>272</v>
      </c>
      <c r="D143" s="3" t="str">
        <f>C143&amp;"_"&amp;E143</f>
        <v>LEIDEN_TQ_RPTEC_CSP3_A08</v>
      </c>
      <c r="E143" s="3" t="s">
        <v>45</v>
      </c>
      <c r="F143" s="3" t="s">
        <v>670</v>
      </c>
      <c r="G143" s="3" t="s">
        <v>626</v>
      </c>
      <c r="H143" s="3" t="s">
        <v>627</v>
      </c>
      <c r="I143" s="3" t="s">
        <v>350</v>
      </c>
      <c r="J143" s="3" t="s">
        <v>371</v>
      </c>
      <c r="K143" s="3" t="s">
        <v>671</v>
      </c>
      <c r="L143" s="3" t="s">
        <v>371</v>
      </c>
      <c r="M143" s="3">
        <v>48</v>
      </c>
      <c r="N143" s="3" t="str">
        <f>M143&amp;"hr"</f>
        <v>48hr</v>
      </c>
      <c r="O143" s="3" t="str">
        <f>P143&amp;"uM"</f>
        <v>1uM</v>
      </c>
      <c r="P143" s="3">
        <v>1</v>
      </c>
      <c r="Q143" s="3">
        <v>3</v>
      </c>
      <c r="R143">
        <v>1</v>
      </c>
      <c r="S143" s="3" t="str">
        <f>I143&amp;"_ "&amp;J143&amp;"_ "&amp;N143&amp;"_ "&amp;O143</f>
        <v>RPTEC-TERT1_ CSP_ 48hr_ 1uM</v>
      </c>
      <c r="T143" s="3" t="s">
        <v>552</v>
      </c>
      <c r="U143" s="3" t="s">
        <v>553</v>
      </c>
      <c r="V143" s="3">
        <v>1470523</v>
      </c>
      <c r="W143" s="3">
        <v>69.656719245890798</v>
      </c>
      <c r="X143" s="3">
        <v>48</v>
      </c>
    </row>
    <row r="144" spans="1:24" x14ac:dyDescent="0.25">
      <c r="A144" s="3" t="s">
        <v>289</v>
      </c>
      <c r="B144" s="3" t="str">
        <f>H144&amp;"_ "&amp;I144&amp;"_ "&amp;J144&amp;"_ "&amp;N144&amp;"_ "&amp;O144&amp;"_R"&amp;R144</f>
        <v>Human_ RPTEC-TERT1_ CSP_ 48hr_ 1uM_R2</v>
      </c>
      <c r="C144" s="3" t="s">
        <v>272</v>
      </c>
      <c r="D144" s="3" t="str">
        <f>C144&amp;"_"&amp;E144</f>
        <v>LEIDEN_TQ_RPTEC_CSP3_B08</v>
      </c>
      <c r="E144" s="3" t="s">
        <v>67</v>
      </c>
      <c r="F144" s="3" t="s">
        <v>670</v>
      </c>
      <c r="G144" s="3" t="s">
        <v>626</v>
      </c>
      <c r="H144" s="3" t="s">
        <v>627</v>
      </c>
      <c r="I144" s="3" t="s">
        <v>350</v>
      </c>
      <c r="J144" s="3" t="s">
        <v>371</v>
      </c>
      <c r="K144" s="3" t="s">
        <v>671</v>
      </c>
      <c r="L144" s="3" t="s">
        <v>371</v>
      </c>
      <c r="M144" s="3">
        <v>48</v>
      </c>
      <c r="N144" s="3" t="str">
        <f>M144&amp;"hr"</f>
        <v>48hr</v>
      </c>
      <c r="O144" s="3" t="str">
        <f>P144&amp;"uM"</f>
        <v>1uM</v>
      </c>
      <c r="P144" s="3">
        <v>1</v>
      </c>
      <c r="Q144" s="3">
        <v>3</v>
      </c>
      <c r="R144">
        <v>2</v>
      </c>
      <c r="S144" s="3" t="str">
        <f>I144&amp;"_ "&amp;J144&amp;"_ "&amp;N144&amp;"_ "&amp;O144</f>
        <v>RPTEC-TERT1_ CSP_ 48hr_ 1uM</v>
      </c>
      <c r="T144" s="3" t="s">
        <v>552</v>
      </c>
      <c r="U144" s="3" t="s">
        <v>567</v>
      </c>
      <c r="V144" s="3">
        <v>3188745</v>
      </c>
      <c r="W144" s="3">
        <v>151.04661077163601</v>
      </c>
      <c r="X144" s="3">
        <v>48</v>
      </c>
    </row>
    <row r="145" spans="1:24" x14ac:dyDescent="0.25">
      <c r="A145" s="3" t="s">
        <v>300</v>
      </c>
      <c r="B145" s="3" t="str">
        <f>H145&amp;"_ "&amp;I145&amp;"_ "&amp;J145&amp;"_ "&amp;N145&amp;"_ "&amp;O145&amp;"_R"&amp;R145</f>
        <v>Human_ RPTEC-TERT1_ CSP_ 48hr_ 1uM_R3</v>
      </c>
      <c r="C145" s="3" t="s">
        <v>272</v>
      </c>
      <c r="D145" s="3" t="str">
        <f>C145&amp;"_"&amp;E145</f>
        <v>LEIDEN_TQ_RPTEC_CSP3_C08</v>
      </c>
      <c r="E145" s="3" t="s">
        <v>89</v>
      </c>
      <c r="F145" s="3" t="s">
        <v>670</v>
      </c>
      <c r="G145" s="3" t="s">
        <v>626</v>
      </c>
      <c r="H145" s="3" t="s">
        <v>627</v>
      </c>
      <c r="I145" s="3" t="s">
        <v>350</v>
      </c>
      <c r="J145" s="3" t="s">
        <v>371</v>
      </c>
      <c r="K145" s="3" t="s">
        <v>671</v>
      </c>
      <c r="L145" s="3" t="s">
        <v>371</v>
      </c>
      <c r="M145" s="3">
        <v>48</v>
      </c>
      <c r="N145" s="3" t="str">
        <f>M145&amp;"hr"</f>
        <v>48hr</v>
      </c>
      <c r="O145" s="3" t="str">
        <f>P145&amp;"uM"</f>
        <v>1uM</v>
      </c>
      <c r="P145" s="3">
        <v>1</v>
      </c>
      <c r="Q145" s="3">
        <v>3</v>
      </c>
      <c r="R145">
        <v>3</v>
      </c>
      <c r="S145" s="3" t="str">
        <f>I145&amp;"_ "&amp;J145&amp;"_ "&amp;N145&amp;"_ "&amp;O145</f>
        <v>RPTEC-TERT1_ CSP_ 48hr_ 1uM</v>
      </c>
      <c r="T145" s="3" t="s">
        <v>552</v>
      </c>
      <c r="U145" s="3" t="s">
        <v>578</v>
      </c>
      <c r="V145" s="3">
        <v>3567673</v>
      </c>
      <c r="W145" s="3">
        <v>168.995926294349</v>
      </c>
      <c r="X145" s="3">
        <v>48</v>
      </c>
    </row>
    <row r="146" spans="1:24" x14ac:dyDescent="0.25">
      <c r="A146" s="3" t="s">
        <v>277</v>
      </c>
      <c r="B146" s="3" t="str">
        <f>H146&amp;"_ "&amp;I146&amp;"_ "&amp;J146&amp;"_ "&amp;N146&amp;"_ "&amp;O146&amp;"_R"&amp;R146</f>
        <v>Human_ RPTEC-TERT1_ CSP_ 48hr_ 2.5uM_R1</v>
      </c>
      <c r="C146" s="3" t="s">
        <v>272</v>
      </c>
      <c r="D146" s="3" t="str">
        <f>C146&amp;"_"&amp;E146</f>
        <v>LEIDEN_TQ_RPTEC_CSP3_A07</v>
      </c>
      <c r="E146" s="3" t="s">
        <v>43</v>
      </c>
      <c r="F146" s="3" t="s">
        <v>670</v>
      </c>
      <c r="G146" s="3" t="s">
        <v>626</v>
      </c>
      <c r="H146" s="3" t="s">
        <v>627</v>
      </c>
      <c r="I146" s="3" t="s">
        <v>350</v>
      </c>
      <c r="J146" s="3" t="s">
        <v>371</v>
      </c>
      <c r="K146" s="3" t="s">
        <v>671</v>
      </c>
      <c r="L146" s="3" t="s">
        <v>371</v>
      </c>
      <c r="M146" s="3">
        <v>48</v>
      </c>
      <c r="N146" s="3" t="str">
        <f>M146&amp;"hr"</f>
        <v>48hr</v>
      </c>
      <c r="O146" s="3" t="str">
        <f>P146&amp;"uM"</f>
        <v>2.5uM</v>
      </c>
      <c r="P146" s="3">
        <v>2.5</v>
      </c>
      <c r="Q146" s="3">
        <v>4</v>
      </c>
      <c r="R146">
        <v>1</v>
      </c>
      <c r="S146" s="3" t="str">
        <f>I146&amp;"_ "&amp;J146&amp;"_ "&amp;N146&amp;"_ "&amp;O146</f>
        <v>RPTEC-TERT1_ CSP_ 48hr_ 2.5uM</v>
      </c>
      <c r="T146" s="3" t="s">
        <v>550</v>
      </c>
      <c r="U146" s="3" t="s">
        <v>551</v>
      </c>
      <c r="V146" s="3">
        <v>5106952</v>
      </c>
      <c r="W146" s="3">
        <v>241.90952583961001</v>
      </c>
      <c r="X146" s="3">
        <v>48</v>
      </c>
    </row>
    <row r="147" spans="1:24" x14ac:dyDescent="0.25">
      <c r="A147" s="3" t="s">
        <v>288</v>
      </c>
      <c r="B147" s="3" t="str">
        <f>H147&amp;"_ "&amp;I147&amp;"_ "&amp;J147&amp;"_ "&amp;N147&amp;"_ "&amp;O147&amp;"_R"&amp;R147</f>
        <v>Human_ RPTEC-TERT1_ CSP_ 48hr_ 2.5uM_R2</v>
      </c>
      <c r="C147" s="3" t="s">
        <v>272</v>
      </c>
      <c r="D147" s="3" t="str">
        <f>C147&amp;"_"&amp;E147</f>
        <v>LEIDEN_TQ_RPTEC_CSP3_B07</v>
      </c>
      <c r="E147" s="3" t="s">
        <v>65</v>
      </c>
      <c r="F147" s="3" t="s">
        <v>670</v>
      </c>
      <c r="G147" s="3" t="s">
        <v>626</v>
      </c>
      <c r="H147" s="3" t="s">
        <v>627</v>
      </c>
      <c r="I147" s="3" t="s">
        <v>350</v>
      </c>
      <c r="J147" s="3" t="s">
        <v>371</v>
      </c>
      <c r="K147" s="3" t="s">
        <v>671</v>
      </c>
      <c r="L147" s="3" t="s">
        <v>371</v>
      </c>
      <c r="M147" s="3">
        <v>48</v>
      </c>
      <c r="N147" s="3" t="str">
        <f>M147&amp;"hr"</f>
        <v>48hr</v>
      </c>
      <c r="O147" s="3" t="str">
        <f>P147&amp;"uM"</f>
        <v>2.5uM</v>
      </c>
      <c r="P147" s="3">
        <v>2.5</v>
      </c>
      <c r="Q147" s="3">
        <v>4</v>
      </c>
      <c r="R147">
        <v>2</v>
      </c>
      <c r="S147" s="3" t="str">
        <f>I147&amp;"_ "&amp;J147&amp;"_ "&amp;N147&amp;"_ "&amp;O147</f>
        <v>RPTEC-TERT1_ CSP_ 48hr_ 2.5uM</v>
      </c>
      <c r="T147" s="3" t="s">
        <v>550</v>
      </c>
      <c r="U147" s="3" t="s">
        <v>566</v>
      </c>
      <c r="V147" s="3">
        <v>3289895</v>
      </c>
      <c r="W147" s="3">
        <v>155.83795177869399</v>
      </c>
      <c r="X147" s="3">
        <v>48</v>
      </c>
    </row>
    <row r="148" spans="1:24" x14ac:dyDescent="0.25">
      <c r="A148" s="3" t="s">
        <v>299</v>
      </c>
      <c r="B148" s="3" t="str">
        <f>H148&amp;"_ "&amp;I148&amp;"_ "&amp;J148&amp;"_ "&amp;N148&amp;"_ "&amp;O148&amp;"_R"&amp;R148</f>
        <v>Human_ RPTEC-TERT1_ CSP_ 48hr_ 2.5uM_R3</v>
      </c>
      <c r="C148" s="3" t="s">
        <v>272</v>
      </c>
      <c r="D148" s="3" t="str">
        <f>C148&amp;"_"&amp;E148</f>
        <v>LEIDEN_TQ_RPTEC_CSP3_C07</v>
      </c>
      <c r="E148" s="3" t="s">
        <v>87</v>
      </c>
      <c r="F148" s="3" t="s">
        <v>670</v>
      </c>
      <c r="G148" s="3" t="s">
        <v>626</v>
      </c>
      <c r="H148" s="3" t="s">
        <v>627</v>
      </c>
      <c r="I148" s="3" t="s">
        <v>350</v>
      </c>
      <c r="J148" s="3" t="s">
        <v>371</v>
      </c>
      <c r="K148" s="3" t="s">
        <v>671</v>
      </c>
      <c r="L148" s="3" t="s">
        <v>371</v>
      </c>
      <c r="M148" s="3">
        <v>48</v>
      </c>
      <c r="N148" s="3" t="str">
        <f>M148&amp;"hr"</f>
        <v>48hr</v>
      </c>
      <c r="O148" s="3" t="str">
        <f>P148&amp;"uM"</f>
        <v>2.5uM</v>
      </c>
      <c r="P148" s="3">
        <v>2.5</v>
      </c>
      <c r="Q148" s="3">
        <v>4</v>
      </c>
      <c r="R148">
        <v>3</v>
      </c>
      <c r="S148" s="3" t="str">
        <f>I148&amp;"_ "&amp;J148&amp;"_ "&amp;N148&amp;"_ "&amp;O148</f>
        <v>RPTEC-TERT1_ CSP_ 48hr_ 2.5uM</v>
      </c>
      <c r="T148" s="3" t="s">
        <v>550</v>
      </c>
      <c r="U148" s="3" t="s">
        <v>577</v>
      </c>
      <c r="V148" s="3">
        <v>3024212</v>
      </c>
      <c r="W148" s="3">
        <v>143.25290133106</v>
      </c>
      <c r="X148" s="3">
        <v>48</v>
      </c>
    </row>
    <row r="149" spans="1:24" x14ac:dyDescent="0.25">
      <c r="A149" s="3" t="s">
        <v>276</v>
      </c>
      <c r="B149" s="3" t="str">
        <f>H149&amp;"_ "&amp;I149&amp;"_ "&amp;J149&amp;"_ "&amp;N149&amp;"_ "&amp;O149&amp;"_R"&amp;R149</f>
        <v>Human_ RPTEC-TERT1_ CSP_ 48hr_ 5uM_R1</v>
      </c>
      <c r="C149" s="3" t="s">
        <v>272</v>
      </c>
      <c r="D149" s="3" t="str">
        <f>C149&amp;"_"&amp;E149</f>
        <v>LEIDEN_TQ_RPTEC_CSP3_A06</v>
      </c>
      <c r="E149" s="3" t="s">
        <v>41</v>
      </c>
      <c r="F149" s="3" t="s">
        <v>670</v>
      </c>
      <c r="G149" s="3" t="s">
        <v>626</v>
      </c>
      <c r="H149" s="3" t="s">
        <v>627</v>
      </c>
      <c r="I149" s="3" t="s">
        <v>350</v>
      </c>
      <c r="J149" s="3" t="s">
        <v>371</v>
      </c>
      <c r="K149" s="3" t="s">
        <v>671</v>
      </c>
      <c r="L149" s="3" t="s">
        <v>371</v>
      </c>
      <c r="M149" s="3">
        <v>48</v>
      </c>
      <c r="N149" s="3" t="str">
        <f>M149&amp;"hr"</f>
        <v>48hr</v>
      </c>
      <c r="O149" s="3" t="str">
        <f>P149&amp;"uM"</f>
        <v>5uM</v>
      </c>
      <c r="P149" s="3">
        <v>5</v>
      </c>
      <c r="Q149" s="3">
        <v>5</v>
      </c>
      <c r="R149">
        <v>1</v>
      </c>
      <c r="S149" s="3" t="str">
        <f>I149&amp;"_ "&amp;J149&amp;"_ "&amp;N149&amp;"_ "&amp;O149</f>
        <v>RPTEC-TERT1_ CSP_ 48hr_ 5uM</v>
      </c>
      <c r="T149" s="3" t="s">
        <v>548</v>
      </c>
      <c r="U149" s="3" t="s">
        <v>549</v>
      </c>
      <c r="V149" s="3">
        <v>5093791</v>
      </c>
      <c r="W149" s="3">
        <v>241.28610676898299</v>
      </c>
      <c r="X149" s="3">
        <v>48</v>
      </c>
    </row>
    <row r="150" spans="1:24" x14ac:dyDescent="0.25">
      <c r="A150" s="3" t="s">
        <v>287</v>
      </c>
      <c r="B150" s="3" t="str">
        <f>H150&amp;"_ "&amp;I150&amp;"_ "&amp;J150&amp;"_ "&amp;N150&amp;"_ "&amp;O150&amp;"_R"&amp;R150</f>
        <v>Human_ RPTEC-TERT1_ CSP_ 48hr_ 5uM_R2</v>
      </c>
      <c r="C150" s="3" t="s">
        <v>272</v>
      </c>
      <c r="D150" s="3" t="str">
        <f>C150&amp;"_"&amp;E150</f>
        <v>LEIDEN_TQ_RPTEC_CSP3_B06</v>
      </c>
      <c r="E150" s="3" t="s">
        <v>63</v>
      </c>
      <c r="F150" s="3" t="s">
        <v>670</v>
      </c>
      <c r="G150" s="3" t="s">
        <v>626</v>
      </c>
      <c r="H150" s="3" t="s">
        <v>627</v>
      </c>
      <c r="I150" s="3" t="s">
        <v>350</v>
      </c>
      <c r="J150" s="3" t="s">
        <v>371</v>
      </c>
      <c r="K150" s="3" t="s">
        <v>671</v>
      </c>
      <c r="L150" s="3" t="s">
        <v>371</v>
      </c>
      <c r="M150" s="3">
        <v>48</v>
      </c>
      <c r="N150" s="3" t="str">
        <f>M150&amp;"hr"</f>
        <v>48hr</v>
      </c>
      <c r="O150" s="3" t="str">
        <f>P150&amp;"uM"</f>
        <v>5uM</v>
      </c>
      <c r="P150" s="3">
        <v>5</v>
      </c>
      <c r="Q150" s="3">
        <v>5</v>
      </c>
      <c r="R150">
        <v>2</v>
      </c>
      <c r="S150" s="3" t="str">
        <f>I150&amp;"_ "&amp;J150&amp;"_ "&amp;N150&amp;"_ "&amp;O150</f>
        <v>RPTEC-TERT1_ CSP_ 48hr_ 5uM</v>
      </c>
      <c r="T150" s="3" t="s">
        <v>548</v>
      </c>
      <c r="U150" s="3" t="s">
        <v>565</v>
      </c>
      <c r="V150" s="3">
        <v>4089743</v>
      </c>
      <c r="W150" s="3">
        <v>193.725688029937</v>
      </c>
      <c r="X150" s="3">
        <v>48</v>
      </c>
    </row>
    <row r="151" spans="1:24" x14ac:dyDescent="0.25">
      <c r="A151" s="3" t="s">
        <v>298</v>
      </c>
      <c r="B151" s="3" t="str">
        <f>H151&amp;"_ "&amp;I151&amp;"_ "&amp;J151&amp;"_ "&amp;N151&amp;"_ "&amp;O151&amp;"_R"&amp;R151</f>
        <v>Human_ RPTEC-TERT1_ CSP_ 48hr_ 5uM_R3</v>
      </c>
      <c r="C151" s="3" t="s">
        <v>272</v>
      </c>
      <c r="D151" s="3" t="str">
        <f>C151&amp;"_"&amp;E151</f>
        <v>LEIDEN_TQ_RPTEC_CSP3_C06</v>
      </c>
      <c r="E151" s="3" t="s">
        <v>85</v>
      </c>
      <c r="F151" s="3" t="s">
        <v>670</v>
      </c>
      <c r="G151" s="3" t="s">
        <v>626</v>
      </c>
      <c r="H151" s="3" t="s">
        <v>627</v>
      </c>
      <c r="I151" s="3" t="s">
        <v>350</v>
      </c>
      <c r="J151" s="3" t="s">
        <v>371</v>
      </c>
      <c r="K151" s="3" t="s">
        <v>671</v>
      </c>
      <c r="L151" s="3" t="s">
        <v>371</v>
      </c>
      <c r="M151" s="3">
        <v>48</v>
      </c>
      <c r="N151" s="3" t="str">
        <f>M151&amp;"hr"</f>
        <v>48hr</v>
      </c>
      <c r="O151" s="3" t="str">
        <f>P151&amp;"uM"</f>
        <v>5uM</v>
      </c>
      <c r="P151" s="3">
        <v>5</v>
      </c>
      <c r="Q151" s="3">
        <v>5</v>
      </c>
      <c r="R151">
        <v>3</v>
      </c>
      <c r="S151" s="3" t="str">
        <f>I151&amp;"_ "&amp;J151&amp;"_ "&amp;N151&amp;"_ "&amp;O151</f>
        <v>RPTEC-TERT1_ CSP_ 48hr_ 5uM</v>
      </c>
      <c r="T151" s="3" t="s">
        <v>548</v>
      </c>
      <c r="U151" s="3" t="s">
        <v>576</v>
      </c>
      <c r="V151" s="3">
        <v>4046928</v>
      </c>
      <c r="W151" s="3">
        <v>191.697598408413</v>
      </c>
      <c r="X151" s="3">
        <v>48</v>
      </c>
    </row>
    <row r="152" spans="1:24" x14ac:dyDescent="0.25">
      <c r="A152" s="3" t="s">
        <v>275</v>
      </c>
      <c r="B152" s="3" t="str">
        <f>H152&amp;"_ "&amp;I152&amp;"_ "&amp;J152&amp;"_ "&amp;N152&amp;"_ "&amp;O152&amp;"_R"&amp;R152</f>
        <v>Human_ RPTEC-TERT1_ CSP_ 48hr_ 10uM_R1</v>
      </c>
      <c r="C152" s="3" t="s">
        <v>272</v>
      </c>
      <c r="D152" s="3" t="str">
        <f>C152&amp;"_"&amp;E152</f>
        <v>LEIDEN_TQ_RPTEC_CSP3_A05</v>
      </c>
      <c r="E152" s="3" t="s">
        <v>39</v>
      </c>
      <c r="F152" s="3" t="s">
        <v>670</v>
      </c>
      <c r="G152" s="3" t="s">
        <v>626</v>
      </c>
      <c r="H152" s="3" t="s">
        <v>627</v>
      </c>
      <c r="I152" s="3" t="s">
        <v>350</v>
      </c>
      <c r="J152" s="3" t="s">
        <v>371</v>
      </c>
      <c r="K152" s="3" t="s">
        <v>671</v>
      </c>
      <c r="L152" s="3" t="s">
        <v>371</v>
      </c>
      <c r="M152" s="3">
        <v>48</v>
      </c>
      <c r="N152" s="3" t="str">
        <f>M152&amp;"hr"</f>
        <v>48hr</v>
      </c>
      <c r="O152" s="3" t="str">
        <f>P152&amp;"uM"</f>
        <v>10uM</v>
      </c>
      <c r="P152" s="3">
        <v>10</v>
      </c>
      <c r="Q152" s="3">
        <v>6</v>
      </c>
      <c r="R152">
        <v>1</v>
      </c>
      <c r="S152" s="3" t="str">
        <f>I152&amp;"_ "&amp;J152&amp;"_ "&amp;N152&amp;"_ "&amp;O152</f>
        <v>RPTEC-TERT1_ CSP_ 48hr_ 10uM</v>
      </c>
      <c r="T152" s="3" t="s">
        <v>546</v>
      </c>
      <c r="U152" s="3" t="s">
        <v>547</v>
      </c>
      <c r="V152" s="3">
        <v>4561719</v>
      </c>
      <c r="W152" s="3">
        <v>216.08256359244001</v>
      </c>
      <c r="X152" s="3">
        <v>48</v>
      </c>
    </row>
    <row r="153" spans="1:24" x14ac:dyDescent="0.25">
      <c r="A153" s="3" t="s">
        <v>286</v>
      </c>
      <c r="B153" s="3" t="str">
        <f>H153&amp;"_ "&amp;I153&amp;"_ "&amp;J153&amp;"_ "&amp;N153&amp;"_ "&amp;O153&amp;"_R"&amp;R153</f>
        <v>Human_ RPTEC-TERT1_ CSP_ 48hr_ 10uM_R2</v>
      </c>
      <c r="C153" s="3" t="s">
        <v>272</v>
      </c>
      <c r="D153" s="3" t="str">
        <f>C153&amp;"_"&amp;E153</f>
        <v>LEIDEN_TQ_RPTEC_CSP3_B05</v>
      </c>
      <c r="E153" s="3" t="s">
        <v>61</v>
      </c>
      <c r="F153" s="3" t="s">
        <v>670</v>
      </c>
      <c r="G153" s="3" t="s">
        <v>626</v>
      </c>
      <c r="H153" s="3" t="s">
        <v>627</v>
      </c>
      <c r="I153" s="3" t="s">
        <v>350</v>
      </c>
      <c r="J153" s="3" t="s">
        <v>371</v>
      </c>
      <c r="K153" s="3" t="s">
        <v>671</v>
      </c>
      <c r="L153" s="3" t="s">
        <v>371</v>
      </c>
      <c r="M153" s="3">
        <v>48</v>
      </c>
      <c r="N153" s="3" t="str">
        <f>M153&amp;"hr"</f>
        <v>48hr</v>
      </c>
      <c r="O153" s="3" t="str">
        <f>P153&amp;"uM"</f>
        <v>10uM</v>
      </c>
      <c r="P153" s="3">
        <v>10</v>
      </c>
      <c r="Q153" s="3">
        <v>6</v>
      </c>
      <c r="R153">
        <v>2</v>
      </c>
      <c r="S153" s="3" t="str">
        <f>I153&amp;"_ "&amp;J153&amp;"_ "&amp;N153&amp;"_ "&amp;O153</f>
        <v>RPTEC-TERT1_ CSP_ 48hr_ 10uM</v>
      </c>
      <c r="T153" s="3" t="s">
        <v>546</v>
      </c>
      <c r="U153" s="3" t="s">
        <v>564</v>
      </c>
      <c r="V153" s="3">
        <v>3902664</v>
      </c>
      <c r="W153" s="3">
        <v>184.864004547392</v>
      </c>
      <c r="X153" s="3">
        <v>48</v>
      </c>
    </row>
    <row r="154" spans="1:24" x14ac:dyDescent="0.25">
      <c r="A154" s="3" t="s">
        <v>297</v>
      </c>
      <c r="B154" s="3" t="str">
        <f>H154&amp;"_ "&amp;I154&amp;"_ "&amp;J154&amp;"_ "&amp;N154&amp;"_ "&amp;O154&amp;"_R"&amp;R154</f>
        <v>Human_ RPTEC-TERT1_ CSP_ 48hr_ 10uM_R3</v>
      </c>
      <c r="C154" s="3" t="s">
        <v>272</v>
      </c>
      <c r="D154" s="3" t="str">
        <f>C154&amp;"_"&amp;E154</f>
        <v>LEIDEN_TQ_RPTEC_CSP3_C05</v>
      </c>
      <c r="E154" s="3" t="s">
        <v>83</v>
      </c>
      <c r="F154" s="3" t="s">
        <v>670</v>
      </c>
      <c r="G154" s="3" t="s">
        <v>626</v>
      </c>
      <c r="H154" s="3" t="s">
        <v>627</v>
      </c>
      <c r="I154" s="3" t="s">
        <v>350</v>
      </c>
      <c r="J154" s="3" t="s">
        <v>371</v>
      </c>
      <c r="K154" s="3" t="s">
        <v>671</v>
      </c>
      <c r="L154" s="3" t="s">
        <v>371</v>
      </c>
      <c r="M154" s="3">
        <v>48</v>
      </c>
      <c r="N154" s="3" t="str">
        <f>M154&amp;"hr"</f>
        <v>48hr</v>
      </c>
      <c r="O154" s="3" t="str">
        <f>P154&amp;"uM"</f>
        <v>10uM</v>
      </c>
      <c r="P154" s="3">
        <v>10</v>
      </c>
      <c r="Q154" s="3">
        <v>6</v>
      </c>
      <c r="R154">
        <v>3</v>
      </c>
      <c r="S154" s="3" t="str">
        <f>I154&amp;"_ "&amp;J154&amp;"_ "&amp;N154&amp;"_ "&amp;O154</f>
        <v>RPTEC-TERT1_ CSP_ 48hr_ 10uM</v>
      </c>
      <c r="T154" s="3" t="s">
        <v>546</v>
      </c>
      <c r="U154" s="3" t="s">
        <v>575</v>
      </c>
      <c r="V154" s="3">
        <v>4025575</v>
      </c>
      <c r="W154" s="3">
        <v>190.68613519018501</v>
      </c>
      <c r="X154" s="3">
        <v>48</v>
      </c>
    </row>
    <row r="155" spans="1:24" x14ac:dyDescent="0.25">
      <c r="A155" s="3" t="s">
        <v>274</v>
      </c>
      <c r="B155" s="3" t="str">
        <f>H155&amp;"_ "&amp;I155&amp;"_ "&amp;J155&amp;"_ "&amp;N155&amp;"_ "&amp;O155&amp;"_R"&amp;R155</f>
        <v>Human_ RPTEC-TERT1_ CSP_ 48hr_ 20uM_R1</v>
      </c>
      <c r="C155" s="3" t="s">
        <v>272</v>
      </c>
      <c r="D155" s="3" t="str">
        <f>C155&amp;"_"&amp;E155</f>
        <v>LEIDEN_TQ_RPTEC_CSP3_A04</v>
      </c>
      <c r="E155" s="3" t="s">
        <v>37</v>
      </c>
      <c r="F155" s="3" t="s">
        <v>670</v>
      </c>
      <c r="G155" s="3" t="s">
        <v>626</v>
      </c>
      <c r="H155" s="3" t="s">
        <v>627</v>
      </c>
      <c r="I155" s="3" t="s">
        <v>350</v>
      </c>
      <c r="J155" s="3" t="s">
        <v>371</v>
      </c>
      <c r="K155" s="3" t="s">
        <v>671</v>
      </c>
      <c r="L155" s="3" t="s">
        <v>371</v>
      </c>
      <c r="M155" s="3">
        <v>48</v>
      </c>
      <c r="N155" s="3" t="str">
        <f>M155&amp;"hr"</f>
        <v>48hr</v>
      </c>
      <c r="O155" s="3" t="str">
        <f>P155&amp;"uM"</f>
        <v>20uM</v>
      </c>
      <c r="P155" s="3">
        <v>20</v>
      </c>
      <c r="Q155" s="3">
        <v>7</v>
      </c>
      <c r="R155">
        <v>1</v>
      </c>
      <c r="S155" s="3" t="str">
        <f>I155&amp;"_ "&amp;J155&amp;"_ "&amp;N155&amp;"_ "&amp;O155</f>
        <v>RPTEC-TERT1_ CSP_ 48hr_ 20uM</v>
      </c>
      <c r="T155" s="3" t="s">
        <v>544</v>
      </c>
      <c r="U155" s="3" t="s">
        <v>545</v>
      </c>
      <c r="V155" s="3">
        <v>4218431</v>
      </c>
      <c r="W155" s="3">
        <v>199.82146748140801</v>
      </c>
      <c r="X155" s="3">
        <v>48</v>
      </c>
    </row>
    <row r="156" spans="1:24" x14ac:dyDescent="0.25">
      <c r="A156" s="3" t="s">
        <v>285</v>
      </c>
      <c r="B156" s="3" t="str">
        <f>H156&amp;"_ "&amp;I156&amp;"_ "&amp;J156&amp;"_ "&amp;N156&amp;"_ "&amp;O156&amp;"_R"&amp;R156</f>
        <v>Human_ RPTEC-TERT1_ CSP_ 48hr_ 20uM_R2</v>
      </c>
      <c r="C156" s="3" t="s">
        <v>272</v>
      </c>
      <c r="D156" s="3" t="str">
        <f>C156&amp;"_"&amp;E156</f>
        <v>LEIDEN_TQ_RPTEC_CSP3_B04</v>
      </c>
      <c r="E156" s="3" t="s">
        <v>59</v>
      </c>
      <c r="F156" s="3" t="s">
        <v>670</v>
      </c>
      <c r="G156" s="3" t="s">
        <v>626</v>
      </c>
      <c r="H156" s="3" t="s">
        <v>627</v>
      </c>
      <c r="I156" s="3" t="s">
        <v>350</v>
      </c>
      <c r="J156" s="3" t="s">
        <v>371</v>
      </c>
      <c r="K156" s="3" t="s">
        <v>671</v>
      </c>
      <c r="L156" s="3" t="s">
        <v>371</v>
      </c>
      <c r="M156" s="3">
        <v>48</v>
      </c>
      <c r="N156" s="3" t="str">
        <f>M156&amp;"hr"</f>
        <v>48hr</v>
      </c>
      <c r="O156" s="3" t="str">
        <f>P156&amp;"uM"</f>
        <v>20uM</v>
      </c>
      <c r="P156" s="3">
        <v>20</v>
      </c>
      <c r="Q156" s="3">
        <v>7</v>
      </c>
      <c r="R156">
        <v>2</v>
      </c>
      <c r="S156" s="3" t="str">
        <f>I156&amp;"_ "&amp;J156&amp;"_ "&amp;N156&amp;"_ "&amp;O156</f>
        <v>RPTEC-TERT1_ CSP_ 48hr_ 20uM</v>
      </c>
      <c r="T156" s="3" t="s">
        <v>544</v>
      </c>
      <c r="U156" s="3" t="s">
        <v>563</v>
      </c>
      <c r="V156" s="3">
        <v>3118982</v>
      </c>
      <c r="W156" s="3">
        <v>147.74203022121199</v>
      </c>
      <c r="X156" s="3">
        <v>48</v>
      </c>
    </row>
    <row r="157" spans="1:24" x14ac:dyDescent="0.25">
      <c r="A157" s="3" t="s">
        <v>296</v>
      </c>
      <c r="B157" s="3" t="str">
        <f>H157&amp;"_ "&amp;I157&amp;"_ "&amp;J157&amp;"_ "&amp;N157&amp;"_ "&amp;O157&amp;"_R"&amp;R157</f>
        <v>Human_ RPTEC-TERT1_ CSP_ 48hr_ 20uM_R3</v>
      </c>
      <c r="C157" s="3" t="s">
        <v>272</v>
      </c>
      <c r="D157" s="3" t="str">
        <f>C157&amp;"_"&amp;E157</f>
        <v>LEIDEN_TQ_RPTEC_CSP3_C04</v>
      </c>
      <c r="E157" s="3" t="s">
        <v>81</v>
      </c>
      <c r="F157" s="3" t="s">
        <v>670</v>
      </c>
      <c r="G157" s="3" t="s">
        <v>626</v>
      </c>
      <c r="H157" s="3" t="s">
        <v>627</v>
      </c>
      <c r="I157" s="3" t="s">
        <v>350</v>
      </c>
      <c r="J157" s="3" t="s">
        <v>371</v>
      </c>
      <c r="K157" s="3" t="s">
        <v>671</v>
      </c>
      <c r="L157" s="3" t="s">
        <v>371</v>
      </c>
      <c r="M157" s="3">
        <v>48</v>
      </c>
      <c r="N157" s="3" t="str">
        <f>M157&amp;"hr"</f>
        <v>48hr</v>
      </c>
      <c r="O157" s="3" t="str">
        <f>P157&amp;"uM"</f>
        <v>20uM</v>
      </c>
      <c r="P157" s="3">
        <v>20</v>
      </c>
      <c r="Q157" s="3">
        <v>7</v>
      </c>
      <c r="R157">
        <v>3</v>
      </c>
      <c r="S157" s="3" t="str">
        <f>I157&amp;"_ "&amp;J157&amp;"_ "&amp;N157&amp;"_ "&amp;O157</f>
        <v>RPTEC-TERT1_ CSP_ 48hr_ 20uM</v>
      </c>
      <c r="T157" s="3" t="s">
        <v>544</v>
      </c>
      <c r="U157" s="3" t="s">
        <v>574</v>
      </c>
      <c r="V157" s="3">
        <v>3219551</v>
      </c>
      <c r="W157" s="3">
        <v>152.50585003078999</v>
      </c>
      <c r="X157" s="3">
        <v>48</v>
      </c>
    </row>
    <row r="158" spans="1:24" x14ac:dyDescent="0.25">
      <c r="A158" s="3" t="s">
        <v>273</v>
      </c>
      <c r="B158" s="3" t="str">
        <f>H158&amp;"_ "&amp;I158&amp;"_ "&amp;J158&amp;"_ "&amp;N158&amp;"_ "&amp;O158&amp;"_R"&amp;R158</f>
        <v>Human_ RPTEC-TERT1_ CSP_ 48hr_ 30uM_R1</v>
      </c>
      <c r="C158" s="3" t="s">
        <v>272</v>
      </c>
      <c r="D158" s="3" t="str">
        <f>C158&amp;"_"&amp;E158</f>
        <v>LEIDEN_TQ_RPTEC_CSP3_A03</v>
      </c>
      <c r="E158" s="3" t="s">
        <v>35</v>
      </c>
      <c r="F158" s="3" t="s">
        <v>670</v>
      </c>
      <c r="G158" s="3" t="s">
        <v>626</v>
      </c>
      <c r="H158" s="3" t="s">
        <v>627</v>
      </c>
      <c r="I158" s="3" t="s">
        <v>350</v>
      </c>
      <c r="J158" s="3" t="s">
        <v>371</v>
      </c>
      <c r="K158" s="3" t="s">
        <v>671</v>
      </c>
      <c r="L158" s="3" t="s">
        <v>371</v>
      </c>
      <c r="M158" s="3">
        <v>48</v>
      </c>
      <c r="N158" s="3" t="str">
        <f>M158&amp;"hr"</f>
        <v>48hr</v>
      </c>
      <c r="O158" s="3" t="str">
        <f>P158&amp;"uM"</f>
        <v>30uM</v>
      </c>
      <c r="P158" s="3">
        <v>30</v>
      </c>
      <c r="Q158" s="3">
        <v>8</v>
      </c>
      <c r="R158">
        <v>1</v>
      </c>
      <c r="S158" s="3" t="str">
        <f>I158&amp;"_ "&amp;J158&amp;"_ "&amp;N158&amp;"_ "&amp;O158</f>
        <v>RPTEC-TERT1_ CSP_ 48hr_ 30uM</v>
      </c>
      <c r="T158" s="3" t="s">
        <v>542</v>
      </c>
      <c r="U158" s="3" t="s">
        <v>543</v>
      </c>
      <c r="V158" s="3">
        <v>5030948</v>
      </c>
      <c r="W158" s="3">
        <v>238.30931741745999</v>
      </c>
      <c r="X158" s="3">
        <v>48</v>
      </c>
    </row>
    <row r="159" spans="1:24" x14ac:dyDescent="0.25">
      <c r="A159" s="3" t="s">
        <v>284</v>
      </c>
      <c r="B159" s="3" t="str">
        <f>H159&amp;"_ "&amp;I159&amp;"_ "&amp;J159&amp;"_ "&amp;N159&amp;"_ "&amp;O159&amp;"_R"&amp;R159</f>
        <v>Human_ RPTEC-TERT1_ CSP_ 48hr_ 30uM_R2</v>
      </c>
      <c r="C159" s="3" t="s">
        <v>272</v>
      </c>
      <c r="D159" s="3" t="str">
        <f>C159&amp;"_"&amp;E159</f>
        <v>LEIDEN_TQ_RPTEC_CSP3_B03</v>
      </c>
      <c r="E159" s="3" t="s">
        <v>57</v>
      </c>
      <c r="F159" s="3" t="s">
        <v>670</v>
      </c>
      <c r="G159" s="3" t="s">
        <v>626</v>
      </c>
      <c r="H159" s="3" t="s">
        <v>627</v>
      </c>
      <c r="I159" s="3" t="s">
        <v>350</v>
      </c>
      <c r="J159" s="3" t="s">
        <v>371</v>
      </c>
      <c r="K159" s="3" t="s">
        <v>671</v>
      </c>
      <c r="L159" s="3" t="s">
        <v>371</v>
      </c>
      <c r="M159" s="3">
        <v>48</v>
      </c>
      <c r="N159" s="3" t="str">
        <f>M159&amp;"hr"</f>
        <v>48hr</v>
      </c>
      <c r="O159" s="3" t="str">
        <f>P159&amp;"uM"</f>
        <v>30uM</v>
      </c>
      <c r="P159" s="3">
        <v>30</v>
      </c>
      <c r="Q159" s="3">
        <v>8</v>
      </c>
      <c r="R159">
        <v>2</v>
      </c>
      <c r="S159" s="3" t="str">
        <f>I159&amp;"_ "&amp;J159&amp;"_ "&amp;N159&amp;"_ "&amp;O159</f>
        <v>RPTEC-TERT1_ CSP_ 48hr_ 30uM</v>
      </c>
      <c r="T159" s="3" t="s">
        <v>542</v>
      </c>
      <c r="U159" s="3" t="s">
        <v>562</v>
      </c>
      <c r="V159" s="3">
        <v>3133143</v>
      </c>
      <c r="W159" s="3">
        <v>148.41281796219999</v>
      </c>
      <c r="X159" s="3">
        <v>48</v>
      </c>
    </row>
    <row r="160" spans="1:24" x14ac:dyDescent="0.25">
      <c r="A160" s="3" t="s">
        <v>295</v>
      </c>
      <c r="B160" s="3" t="str">
        <f>H160&amp;"_ "&amp;I160&amp;"_ "&amp;J160&amp;"_ "&amp;N160&amp;"_ "&amp;O160&amp;"_R"&amp;R160</f>
        <v>Human_ RPTEC-TERT1_ CSP_ 48hr_ 30uM_R3</v>
      </c>
      <c r="C160" s="3" t="s">
        <v>272</v>
      </c>
      <c r="D160" s="3" t="str">
        <f>C160&amp;"_"&amp;E160</f>
        <v>LEIDEN_TQ_RPTEC_CSP3_C03</v>
      </c>
      <c r="E160" s="3" t="s">
        <v>79</v>
      </c>
      <c r="F160" s="3" t="s">
        <v>670</v>
      </c>
      <c r="G160" s="3" t="s">
        <v>626</v>
      </c>
      <c r="H160" s="3" t="s">
        <v>627</v>
      </c>
      <c r="I160" s="3" t="s">
        <v>350</v>
      </c>
      <c r="J160" s="3" t="s">
        <v>371</v>
      </c>
      <c r="K160" s="3" t="s">
        <v>671</v>
      </c>
      <c r="L160" s="3" t="s">
        <v>371</v>
      </c>
      <c r="M160" s="3">
        <v>48</v>
      </c>
      <c r="N160" s="3" t="str">
        <f>M160&amp;"hr"</f>
        <v>48hr</v>
      </c>
      <c r="O160" s="3" t="str">
        <f>P160&amp;"uM"</f>
        <v>30uM</v>
      </c>
      <c r="P160" s="3">
        <v>30</v>
      </c>
      <c r="Q160" s="3">
        <v>8</v>
      </c>
      <c r="R160">
        <v>3</v>
      </c>
      <c r="S160" s="3" t="str">
        <f>I160&amp;"_ "&amp;J160&amp;"_ "&amp;N160&amp;"_ "&amp;O160</f>
        <v>RPTEC-TERT1_ CSP_ 48hr_ 30uM</v>
      </c>
      <c r="T160" s="3" t="s">
        <v>542</v>
      </c>
      <c r="U160" s="3" t="s">
        <v>573</v>
      </c>
      <c r="V160" s="3">
        <v>3079508</v>
      </c>
      <c r="W160" s="3">
        <v>145.872199327365</v>
      </c>
      <c r="X160" s="3">
        <v>48</v>
      </c>
    </row>
    <row r="161" spans="1:24" x14ac:dyDescent="0.25">
      <c r="A161" s="3" t="s">
        <v>271</v>
      </c>
      <c r="B161" s="3" t="str">
        <f>H161&amp;"_ "&amp;I161&amp;"_ "&amp;J161&amp;"_ "&amp;N161&amp;"_ "&amp;O161&amp;"_R"&amp;R161</f>
        <v>Human_ RPTEC-TERT1_ CSP_ 48hr_ 50uM_R1</v>
      </c>
      <c r="C161" s="3" t="s">
        <v>272</v>
      </c>
      <c r="D161" s="3" t="str">
        <f>C161&amp;"_"&amp;E161</f>
        <v>LEIDEN_TQ_RPTEC_CSP3_A02</v>
      </c>
      <c r="E161" s="3" t="s">
        <v>33</v>
      </c>
      <c r="F161" s="3" t="s">
        <v>670</v>
      </c>
      <c r="G161" s="3" t="s">
        <v>626</v>
      </c>
      <c r="H161" s="3" t="s">
        <v>627</v>
      </c>
      <c r="I161" s="3" t="s">
        <v>350</v>
      </c>
      <c r="J161" s="3" t="s">
        <v>371</v>
      </c>
      <c r="K161" s="3" t="s">
        <v>671</v>
      </c>
      <c r="L161" s="3" t="s">
        <v>371</v>
      </c>
      <c r="M161" s="3">
        <v>48</v>
      </c>
      <c r="N161" s="3" t="str">
        <f>M161&amp;"hr"</f>
        <v>48hr</v>
      </c>
      <c r="O161" s="3" t="str">
        <f>P161&amp;"uM"</f>
        <v>50uM</v>
      </c>
      <c r="P161" s="3">
        <v>50</v>
      </c>
      <c r="Q161" s="3">
        <v>9</v>
      </c>
      <c r="R161">
        <v>1</v>
      </c>
      <c r="S161" s="3" t="str">
        <f>I161&amp;"_ "&amp;J161&amp;"_ "&amp;N161&amp;"_ "&amp;O161</f>
        <v>RPTEC-TERT1_ CSP_ 48hr_ 50uM</v>
      </c>
      <c r="T161" s="3" t="s">
        <v>540</v>
      </c>
      <c r="U161" s="3" t="s">
        <v>541</v>
      </c>
      <c r="V161" s="3">
        <v>1043370</v>
      </c>
      <c r="W161" s="3">
        <v>49.423049594997899</v>
      </c>
      <c r="X161" s="3">
        <v>48</v>
      </c>
    </row>
    <row r="162" spans="1:24" x14ac:dyDescent="0.25">
      <c r="A162" s="3" t="s">
        <v>283</v>
      </c>
      <c r="B162" s="3" t="str">
        <f>H162&amp;"_ "&amp;I162&amp;"_ "&amp;J162&amp;"_ "&amp;N162&amp;"_ "&amp;O162&amp;"_R"&amp;R162</f>
        <v>Human_ RPTEC-TERT1_ CSP_ 48hr_ 50uM_R2</v>
      </c>
      <c r="C162" s="3" t="s">
        <v>272</v>
      </c>
      <c r="D162" s="3" t="str">
        <f>C162&amp;"_"&amp;E162</f>
        <v>LEIDEN_TQ_RPTEC_CSP3_B02</v>
      </c>
      <c r="E162" s="3" t="s">
        <v>55</v>
      </c>
      <c r="F162" s="3" t="s">
        <v>670</v>
      </c>
      <c r="G162" s="3" t="s">
        <v>626</v>
      </c>
      <c r="H162" s="3" t="s">
        <v>627</v>
      </c>
      <c r="I162" s="3" t="s">
        <v>350</v>
      </c>
      <c r="J162" s="3" t="s">
        <v>371</v>
      </c>
      <c r="K162" s="3" t="s">
        <v>671</v>
      </c>
      <c r="L162" s="3" t="s">
        <v>371</v>
      </c>
      <c r="M162" s="3">
        <v>48</v>
      </c>
      <c r="N162" s="3" t="str">
        <f>M162&amp;"hr"</f>
        <v>48hr</v>
      </c>
      <c r="O162" s="3" t="str">
        <f>P162&amp;"uM"</f>
        <v>50uM</v>
      </c>
      <c r="P162" s="3">
        <v>50</v>
      </c>
      <c r="Q162" s="3">
        <v>9</v>
      </c>
      <c r="R162">
        <v>2</v>
      </c>
      <c r="S162" s="3" t="str">
        <f>I162&amp;"_ "&amp;J162&amp;"_ "&amp;N162&amp;"_ "&amp;O162</f>
        <v>RPTEC-TERT1_ CSP_ 48hr_ 50uM</v>
      </c>
      <c r="T162" s="3" t="s">
        <v>540</v>
      </c>
      <c r="U162" s="3" t="s">
        <v>561</v>
      </c>
      <c r="V162" s="3">
        <v>3383129</v>
      </c>
      <c r="W162" s="3">
        <v>160.25432239117001</v>
      </c>
      <c r="X162" s="3">
        <v>48</v>
      </c>
    </row>
    <row r="163" spans="1:24" x14ac:dyDescent="0.25">
      <c r="A163" s="3" t="s">
        <v>294</v>
      </c>
      <c r="B163" s="3" t="str">
        <f>H163&amp;"_ "&amp;I163&amp;"_ "&amp;J163&amp;"_ "&amp;N163&amp;"_ "&amp;O163&amp;"_R"&amp;R163</f>
        <v>Human_ RPTEC-TERT1_ CSP_ 48hr_ 50uM_R3</v>
      </c>
      <c r="C163" s="3" t="s">
        <v>272</v>
      </c>
      <c r="D163" s="3" t="str">
        <f>C163&amp;"_"&amp;E163</f>
        <v>LEIDEN_TQ_RPTEC_CSP3_C02</v>
      </c>
      <c r="E163" s="3" t="s">
        <v>77</v>
      </c>
      <c r="F163" s="3" t="s">
        <v>670</v>
      </c>
      <c r="G163" s="3" t="s">
        <v>626</v>
      </c>
      <c r="H163" s="3" t="s">
        <v>627</v>
      </c>
      <c r="I163" s="3" t="s">
        <v>350</v>
      </c>
      <c r="J163" s="3" t="s">
        <v>371</v>
      </c>
      <c r="K163" s="3" t="s">
        <v>671</v>
      </c>
      <c r="L163" s="3" t="s">
        <v>371</v>
      </c>
      <c r="M163" s="3">
        <v>48</v>
      </c>
      <c r="N163" s="3" t="str">
        <f>M163&amp;"hr"</f>
        <v>48hr</v>
      </c>
      <c r="O163" s="3" t="str">
        <f>P163&amp;"uM"</f>
        <v>50uM</v>
      </c>
      <c r="P163" s="3">
        <v>50</v>
      </c>
      <c r="Q163" s="3">
        <v>9</v>
      </c>
      <c r="R163">
        <v>3</v>
      </c>
      <c r="S163" s="3" t="str">
        <f>I163&amp;"_ "&amp;J163&amp;"_ "&amp;N163&amp;"_ "&amp;O163</f>
        <v>RPTEC-TERT1_ CSP_ 48hr_ 50uM</v>
      </c>
      <c r="T163" s="3" t="s">
        <v>540</v>
      </c>
      <c r="U163" s="3" t="s">
        <v>572</v>
      </c>
      <c r="V163" s="3">
        <v>3198902</v>
      </c>
      <c r="W163" s="3">
        <v>151.52773435649701</v>
      </c>
      <c r="X163" s="3">
        <v>48</v>
      </c>
    </row>
    <row r="164" spans="1:24" x14ac:dyDescent="0.25">
      <c r="A164" s="3" t="s">
        <v>313</v>
      </c>
      <c r="B164" s="3" t="str">
        <f>H164&amp;"_ "&amp;I164&amp;"_ "&amp;J164&amp;"_ "&amp;N164&amp;"_ "&amp;O164&amp;"_R"&amp;R164</f>
        <v>Human_ RPTEC-TERT1_ CSP_ 72hr_ 0.1uM_R1</v>
      </c>
      <c r="C164" s="3" t="s">
        <v>272</v>
      </c>
      <c r="D164" s="3" t="str">
        <f>C164&amp;"_"&amp;E164</f>
        <v>LEIDEN_TQ_RPTEC_CSP3_D10</v>
      </c>
      <c r="E164" s="3" t="s">
        <v>116</v>
      </c>
      <c r="F164" s="3" t="s">
        <v>670</v>
      </c>
      <c r="G164" s="3" t="s">
        <v>626</v>
      </c>
      <c r="H164" s="3" t="s">
        <v>627</v>
      </c>
      <c r="I164" s="3" t="s">
        <v>350</v>
      </c>
      <c r="J164" s="3" t="s">
        <v>371</v>
      </c>
      <c r="K164" s="3" t="s">
        <v>671</v>
      </c>
      <c r="L164" s="3" t="s">
        <v>371</v>
      </c>
      <c r="M164" s="3">
        <v>72</v>
      </c>
      <c r="N164" s="3" t="str">
        <f>M164&amp;"hr"</f>
        <v>72hr</v>
      </c>
      <c r="O164" s="3" t="str">
        <f>P164&amp;"uM"</f>
        <v>0.1uM</v>
      </c>
      <c r="P164" s="3">
        <v>0.1</v>
      </c>
      <c r="Q164" s="3">
        <v>1</v>
      </c>
      <c r="R164">
        <v>1</v>
      </c>
      <c r="S164" s="3" t="str">
        <f>I164&amp;"_ "&amp;J164&amp;"_ "&amp;N164&amp;"_ "&amp;O164</f>
        <v>RPTEC-TERT1_ CSP_ 72hr_ 0.1uM</v>
      </c>
      <c r="T164" s="3" t="s">
        <v>598</v>
      </c>
      <c r="U164" s="3" t="s">
        <v>599</v>
      </c>
      <c r="V164" s="3">
        <v>4799346</v>
      </c>
      <c r="W164" s="3">
        <v>227.33863862441399</v>
      </c>
      <c r="X164" s="3">
        <v>72</v>
      </c>
    </row>
    <row r="165" spans="1:24" x14ac:dyDescent="0.25">
      <c r="A165" s="3" t="s">
        <v>324</v>
      </c>
      <c r="B165" s="3" t="str">
        <f>H165&amp;"_ "&amp;I165&amp;"_ "&amp;J165&amp;"_ "&amp;N165&amp;"_ "&amp;O165&amp;"_R"&amp;R165</f>
        <v>Human_ RPTEC-TERT1_ CSP_ 72hr_ 0.1uM_R2</v>
      </c>
      <c r="C165" s="3" t="s">
        <v>272</v>
      </c>
      <c r="D165" s="3" t="str">
        <f>C165&amp;"_"&amp;E165</f>
        <v>LEIDEN_TQ_RPTEC_CSP3_E10</v>
      </c>
      <c r="E165" s="3" t="s">
        <v>138</v>
      </c>
      <c r="F165" s="3" t="s">
        <v>670</v>
      </c>
      <c r="G165" s="3" t="s">
        <v>626</v>
      </c>
      <c r="H165" s="3" t="s">
        <v>627</v>
      </c>
      <c r="I165" s="3" t="s">
        <v>350</v>
      </c>
      <c r="J165" s="3" t="s">
        <v>371</v>
      </c>
      <c r="K165" s="3" t="s">
        <v>671</v>
      </c>
      <c r="L165" s="3" t="s">
        <v>371</v>
      </c>
      <c r="M165" s="3">
        <v>72</v>
      </c>
      <c r="N165" s="3" t="str">
        <f>M165&amp;"hr"</f>
        <v>72hr</v>
      </c>
      <c r="O165" s="3" t="str">
        <f>P165&amp;"uM"</f>
        <v>0.1uM</v>
      </c>
      <c r="P165" s="3">
        <v>0.1</v>
      </c>
      <c r="Q165" s="3">
        <v>1</v>
      </c>
      <c r="R165">
        <v>2</v>
      </c>
      <c r="S165" s="3" t="str">
        <f>I165&amp;"_ "&amp;J165&amp;"_ "&amp;N165&amp;"_ "&amp;O165</f>
        <v>RPTEC-TERT1_ CSP_ 72hr_ 0.1uM</v>
      </c>
      <c r="T165" s="3" t="s">
        <v>598</v>
      </c>
      <c r="U165" s="3" t="s">
        <v>611</v>
      </c>
      <c r="V165" s="3">
        <v>2916220</v>
      </c>
      <c r="W165" s="3">
        <v>138.13746388138901</v>
      </c>
      <c r="X165" s="3">
        <v>72</v>
      </c>
    </row>
    <row r="166" spans="1:24" x14ac:dyDescent="0.25">
      <c r="A166" s="3" t="s">
        <v>335</v>
      </c>
      <c r="B166" s="3" t="str">
        <f>H166&amp;"_ "&amp;I166&amp;"_ "&amp;J166&amp;"_ "&amp;N166&amp;"_ "&amp;O166&amp;"_R"&amp;R166</f>
        <v>Human_ RPTEC-TERT1_ CSP_ 72hr_ 0.1uM_R3</v>
      </c>
      <c r="C166" s="3" t="s">
        <v>272</v>
      </c>
      <c r="D166" s="3" t="str">
        <f>C166&amp;"_"&amp;E166</f>
        <v>LEIDEN_TQ_RPTEC_CSP3_F10</v>
      </c>
      <c r="E166" s="3" t="s">
        <v>160</v>
      </c>
      <c r="F166" s="3" t="s">
        <v>670</v>
      </c>
      <c r="G166" s="3" t="s">
        <v>626</v>
      </c>
      <c r="H166" s="3" t="s">
        <v>627</v>
      </c>
      <c r="I166" s="3" t="s">
        <v>350</v>
      </c>
      <c r="J166" s="3" t="s">
        <v>371</v>
      </c>
      <c r="K166" s="3" t="s">
        <v>671</v>
      </c>
      <c r="L166" s="3" t="s">
        <v>371</v>
      </c>
      <c r="M166" s="3">
        <v>72</v>
      </c>
      <c r="N166" s="3" t="str">
        <f>M166&amp;"hr"</f>
        <v>72hr</v>
      </c>
      <c r="O166" s="3" t="str">
        <f>P166&amp;"uM"</f>
        <v>0.1uM</v>
      </c>
      <c r="P166" s="3">
        <v>0.1</v>
      </c>
      <c r="Q166" s="3">
        <v>1</v>
      </c>
      <c r="R166">
        <v>3</v>
      </c>
      <c r="S166" s="3" t="str">
        <f>I166&amp;"_ "&amp;J166&amp;"_ "&amp;N166&amp;"_ "&amp;O166</f>
        <v>RPTEC-TERT1_ CSP_ 72hr_ 0.1uM</v>
      </c>
      <c r="T166" s="3" t="s">
        <v>598</v>
      </c>
      <c r="U166" s="3" t="s">
        <v>599</v>
      </c>
      <c r="V166" s="3">
        <v>3060463</v>
      </c>
      <c r="W166" s="3">
        <v>144.970063000332</v>
      </c>
      <c r="X166" s="3">
        <v>72</v>
      </c>
    </row>
    <row r="167" spans="1:24" x14ac:dyDescent="0.25">
      <c r="A167" s="3" t="s">
        <v>312</v>
      </c>
      <c r="B167" s="3" t="str">
        <f>H167&amp;"_ "&amp;I167&amp;"_ "&amp;J167&amp;"_ "&amp;N167&amp;"_ "&amp;O167&amp;"_R"&amp;R167</f>
        <v>Human_ RPTEC-TERT1_ CSP_ 72hr_ 0.5uM_R1</v>
      </c>
      <c r="C167" s="3" t="s">
        <v>272</v>
      </c>
      <c r="D167" s="3" t="str">
        <f>C167&amp;"_"&amp;E167</f>
        <v>LEIDEN_TQ_RPTEC_CSP3_D09</v>
      </c>
      <c r="E167" s="3" t="s">
        <v>114</v>
      </c>
      <c r="F167" s="3" t="s">
        <v>670</v>
      </c>
      <c r="G167" s="3" t="s">
        <v>626</v>
      </c>
      <c r="H167" s="3" t="s">
        <v>627</v>
      </c>
      <c r="I167" s="3" t="s">
        <v>350</v>
      </c>
      <c r="J167" s="3" t="s">
        <v>371</v>
      </c>
      <c r="K167" s="3" t="s">
        <v>671</v>
      </c>
      <c r="L167" s="3" t="s">
        <v>371</v>
      </c>
      <c r="M167" s="3">
        <v>72</v>
      </c>
      <c r="N167" s="3" t="str">
        <f>M167&amp;"hr"</f>
        <v>72hr</v>
      </c>
      <c r="O167" s="3" t="str">
        <f>P167&amp;"uM"</f>
        <v>0.5uM</v>
      </c>
      <c r="P167" s="3">
        <v>0.5</v>
      </c>
      <c r="Q167" s="3">
        <v>2</v>
      </c>
      <c r="R167">
        <v>1</v>
      </c>
      <c r="S167" s="3" t="str">
        <f>I167&amp;"_ "&amp;J167&amp;"_ "&amp;N167&amp;"_ "&amp;O167</f>
        <v>RPTEC-TERT1_ CSP_ 72hr_ 0.5uM</v>
      </c>
      <c r="T167" s="3" t="s">
        <v>596</v>
      </c>
      <c r="U167" s="3" t="s">
        <v>597</v>
      </c>
      <c r="V167" s="3">
        <v>3359989</v>
      </c>
      <c r="W167" s="3">
        <v>159.158211359007</v>
      </c>
      <c r="X167" s="3">
        <v>72</v>
      </c>
    </row>
    <row r="168" spans="1:24" x14ac:dyDescent="0.25">
      <c r="A168" s="3" t="s">
        <v>323</v>
      </c>
      <c r="B168" s="3" t="str">
        <f>H168&amp;"_ "&amp;I168&amp;"_ "&amp;J168&amp;"_ "&amp;N168&amp;"_ "&amp;O168&amp;"_R"&amp;R168</f>
        <v>Human_ RPTEC-TERT1_ CSP_ 72hr_ 0.5uM_R2</v>
      </c>
      <c r="C168" s="3" t="s">
        <v>272</v>
      </c>
      <c r="D168" s="3" t="str">
        <f>C168&amp;"_"&amp;E168</f>
        <v>LEIDEN_TQ_RPTEC_CSP3_E09</v>
      </c>
      <c r="E168" s="3" t="s">
        <v>136</v>
      </c>
      <c r="F168" s="3" t="s">
        <v>670</v>
      </c>
      <c r="G168" s="3" t="s">
        <v>626</v>
      </c>
      <c r="H168" s="3" t="s">
        <v>627</v>
      </c>
      <c r="I168" s="3" t="s">
        <v>350</v>
      </c>
      <c r="J168" s="3" t="s">
        <v>371</v>
      </c>
      <c r="K168" s="3" t="s">
        <v>671</v>
      </c>
      <c r="L168" s="3" t="s">
        <v>371</v>
      </c>
      <c r="M168" s="3">
        <v>72</v>
      </c>
      <c r="N168" s="3" t="str">
        <f>M168&amp;"hr"</f>
        <v>72hr</v>
      </c>
      <c r="O168" s="3" t="str">
        <f>P168&amp;"uM"</f>
        <v>0.5uM</v>
      </c>
      <c r="P168" s="3">
        <v>0.5</v>
      </c>
      <c r="Q168" s="3">
        <v>2</v>
      </c>
      <c r="R168">
        <v>2</v>
      </c>
      <c r="S168" s="3" t="str">
        <f>I168&amp;"_ "&amp;J168&amp;"_ "&amp;N168&amp;"_ "&amp;O168</f>
        <v>RPTEC-TERT1_ CSP_ 72hr_ 0.5uM</v>
      </c>
      <c r="T168" s="3" t="s">
        <v>596</v>
      </c>
      <c r="U168" s="3" t="s">
        <v>610</v>
      </c>
      <c r="V168" s="3">
        <v>4165866</v>
      </c>
      <c r="W168" s="3">
        <v>197.33153332385999</v>
      </c>
      <c r="X168" s="3">
        <v>72</v>
      </c>
    </row>
    <row r="169" spans="1:24" x14ac:dyDescent="0.25">
      <c r="A169" s="3" t="s">
        <v>334</v>
      </c>
      <c r="B169" s="3" t="str">
        <f>H169&amp;"_ "&amp;I169&amp;"_ "&amp;J169&amp;"_ "&amp;N169&amp;"_ "&amp;O169&amp;"_R"&amp;R169</f>
        <v>Human_ RPTEC-TERT1_ CSP_ 72hr_ 0.5uM_R3</v>
      </c>
      <c r="C169" s="3" t="s">
        <v>272</v>
      </c>
      <c r="D169" s="3" t="str">
        <f>C169&amp;"_"&amp;E169</f>
        <v>LEIDEN_TQ_RPTEC_CSP3_F09</v>
      </c>
      <c r="E169" s="3" t="s">
        <v>158</v>
      </c>
      <c r="F169" s="3" t="s">
        <v>670</v>
      </c>
      <c r="G169" s="3" t="s">
        <v>626</v>
      </c>
      <c r="H169" s="3" t="s">
        <v>627</v>
      </c>
      <c r="I169" s="3" t="s">
        <v>350</v>
      </c>
      <c r="J169" s="3" t="s">
        <v>371</v>
      </c>
      <c r="K169" s="3" t="s">
        <v>671</v>
      </c>
      <c r="L169" s="3" t="s">
        <v>371</v>
      </c>
      <c r="M169" s="3">
        <v>72</v>
      </c>
      <c r="N169" s="3" t="str">
        <f>M169&amp;"hr"</f>
        <v>72hr</v>
      </c>
      <c r="O169" s="3" t="str">
        <f>P169&amp;"uM"</f>
        <v>0.5uM</v>
      </c>
      <c r="P169" s="3">
        <v>0.5</v>
      </c>
      <c r="Q169" s="3">
        <v>2</v>
      </c>
      <c r="R169">
        <v>3</v>
      </c>
      <c r="S169" s="3" t="str">
        <f>I169&amp;"_ "&amp;J169&amp;"_ "&amp;N169&amp;"_ "&amp;O169</f>
        <v>RPTEC-TERT1_ CSP_ 72hr_ 0.5uM</v>
      </c>
      <c r="T169" s="3" t="s">
        <v>596</v>
      </c>
      <c r="U169" s="3" t="s">
        <v>621</v>
      </c>
      <c r="V169" s="3">
        <v>2857665</v>
      </c>
      <c r="W169" s="3">
        <v>135.363791388376</v>
      </c>
      <c r="X169" s="3">
        <v>72</v>
      </c>
    </row>
    <row r="170" spans="1:24" x14ac:dyDescent="0.25">
      <c r="A170" s="3" t="s">
        <v>311</v>
      </c>
      <c r="B170" s="3" t="str">
        <f>H170&amp;"_ "&amp;I170&amp;"_ "&amp;J170&amp;"_ "&amp;N170&amp;"_ "&amp;O170&amp;"_R"&amp;R170</f>
        <v>Human_ RPTEC-TERT1_ CSP_ 72hr_ 1uM_R1</v>
      </c>
      <c r="C170" s="3" t="s">
        <v>272</v>
      </c>
      <c r="D170" s="3" t="str">
        <f>C170&amp;"_"&amp;E170</f>
        <v>LEIDEN_TQ_RPTEC_CSP3_D08</v>
      </c>
      <c r="E170" s="3" t="s">
        <v>112</v>
      </c>
      <c r="F170" s="3" t="s">
        <v>670</v>
      </c>
      <c r="G170" s="3" t="s">
        <v>626</v>
      </c>
      <c r="H170" s="3" t="s">
        <v>627</v>
      </c>
      <c r="I170" s="3" t="s">
        <v>350</v>
      </c>
      <c r="J170" s="3" t="s">
        <v>371</v>
      </c>
      <c r="K170" s="3" t="s">
        <v>671</v>
      </c>
      <c r="L170" s="3" t="s">
        <v>371</v>
      </c>
      <c r="M170" s="3">
        <v>72</v>
      </c>
      <c r="N170" s="3" t="str">
        <f>M170&amp;"hr"</f>
        <v>72hr</v>
      </c>
      <c r="O170" s="3" t="str">
        <f>P170&amp;"uM"</f>
        <v>1uM</v>
      </c>
      <c r="P170" s="3">
        <v>1</v>
      </c>
      <c r="Q170" s="3">
        <v>3</v>
      </c>
      <c r="R170">
        <v>1</v>
      </c>
      <c r="S170" s="3" t="str">
        <f>I170&amp;"_ "&amp;J170&amp;"_ "&amp;N170&amp;"_ "&amp;O170</f>
        <v>RPTEC-TERT1_ CSP_ 72hr_ 1uM</v>
      </c>
      <c r="T170" s="3" t="s">
        <v>594</v>
      </c>
      <c r="U170" s="3" t="s">
        <v>595</v>
      </c>
      <c r="V170" s="3">
        <v>3310774</v>
      </c>
      <c r="W170" s="3">
        <v>156.82696224717</v>
      </c>
      <c r="X170" s="3">
        <v>72</v>
      </c>
    </row>
    <row r="171" spans="1:24" x14ac:dyDescent="0.25">
      <c r="A171" s="3" t="s">
        <v>322</v>
      </c>
      <c r="B171" s="3" t="str">
        <f>H171&amp;"_ "&amp;I171&amp;"_ "&amp;J171&amp;"_ "&amp;N171&amp;"_ "&amp;O171&amp;"_R"&amp;R171</f>
        <v>Human_ RPTEC-TERT1_ CSP_ 72hr_ 1uM_R2</v>
      </c>
      <c r="C171" s="3" t="s">
        <v>272</v>
      </c>
      <c r="D171" s="3" t="str">
        <f>C171&amp;"_"&amp;E171</f>
        <v>LEIDEN_TQ_RPTEC_CSP3_E08</v>
      </c>
      <c r="E171" s="3" t="s">
        <v>134</v>
      </c>
      <c r="F171" s="3" t="s">
        <v>670</v>
      </c>
      <c r="G171" s="3" t="s">
        <v>626</v>
      </c>
      <c r="H171" s="3" t="s">
        <v>627</v>
      </c>
      <c r="I171" s="3" t="s">
        <v>350</v>
      </c>
      <c r="J171" s="3" t="s">
        <v>371</v>
      </c>
      <c r="K171" s="3" t="s">
        <v>671</v>
      </c>
      <c r="L171" s="3" t="s">
        <v>371</v>
      </c>
      <c r="M171" s="3">
        <v>72</v>
      </c>
      <c r="N171" s="3" t="str">
        <f>M171&amp;"hr"</f>
        <v>72hr</v>
      </c>
      <c r="O171" s="3" t="str">
        <f>P171&amp;"uM"</f>
        <v>1uM</v>
      </c>
      <c r="P171" s="3">
        <v>1</v>
      </c>
      <c r="Q171" s="3">
        <v>3</v>
      </c>
      <c r="R171">
        <v>2</v>
      </c>
      <c r="S171" s="3" t="str">
        <f>I171&amp;"_ "&amp;J171&amp;"_ "&amp;N171&amp;"_ "&amp;O171</f>
        <v>RPTEC-TERT1_ CSP_ 72hr_ 1uM</v>
      </c>
      <c r="T171" s="3" t="s">
        <v>594</v>
      </c>
      <c r="U171" s="3" t="s">
        <v>609</v>
      </c>
      <c r="V171" s="3">
        <v>4479344</v>
      </c>
      <c r="W171" s="3">
        <v>212.18056937141799</v>
      </c>
      <c r="X171" s="3">
        <v>72</v>
      </c>
    </row>
    <row r="172" spans="1:24" x14ac:dyDescent="0.25">
      <c r="A172" s="3" t="s">
        <v>333</v>
      </c>
      <c r="B172" s="3" t="str">
        <f>H172&amp;"_ "&amp;I172&amp;"_ "&amp;J172&amp;"_ "&amp;N172&amp;"_ "&amp;O172&amp;"_R"&amp;R172</f>
        <v>Human_ RPTEC-TERT1_ CSP_ 72hr_ 1uM_R3</v>
      </c>
      <c r="C172" s="3" t="s">
        <v>272</v>
      </c>
      <c r="D172" s="3" t="str">
        <f>C172&amp;"_"&amp;E172</f>
        <v>LEIDEN_TQ_RPTEC_CSP3_F08</v>
      </c>
      <c r="E172" s="3" t="s">
        <v>156</v>
      </c>
      <c r="F172" s="3" t="s">
        <v>670</v>
      </c>
      <c r="G172" s="3" t="s">
        <v>626</v>
      </c>
      <c r="H172" s="3" t="s">
        <v>627</v>
      </c>
      <c r="I172" s="3" t="s">
        <v>350</v>
      </c>
      <c r="J172" s="3" t="s">
        <v>371</v>
      </c>
      <c r="K172" s="3" t="s">
        <v>671</v>
      </c>
      <c r="L172" s="3" t="s">
        <v>371</v>
      </c>
      <c r="M172" s="3">
        <v>72</v>
      </c>
      <c r="N172" s="3" t="str">
        <f>M172&amp;"hr"</f>
        <v>72hr</v>
      </c>
      <c r="O172" s="3" t="str">
        <f>P172&amp;"uM"</f>
        <v>1uM</v>
      </c>
      <c r="P172" s="3">
        <v>1</v>
      </c>
      <c r="Q172" s="3">
        <v>3</v>
      </c>
      <c r="R172">
        <v>3</v>
      </c>
      <c r="S172" s="3" t="str">
        <f>I172&amp;"_ "&amp;J172&amp;"_ "&amp;N172&amp;"_ "&amp;O172</f>
        <v>RPTEC-TERT1_ CSP_ 72hr_ 1uM</v>
      </c>
      <c r="T172" s="3" t="s">
        <v>594</v>
      </c>
      <c r="U172" s="3" t="s">
        <v>620</v>
      </c>
      <c r="V172" s="3">
        <v>2779806</v>
      </c>
      <c r="W172" s="3">
        <v>131.67571408270601</v>
      </c>
      <c r="X172" s="3">
        <v>72</v>
      </c>
    </row>
    <row r="173" spans="1:24" x14ac:dyDescent="0.25">
      <c r="A173" s="3" t="s">
        <v>310</v>
      </c>
      <c r="B173" s="3" t="str">
        <f>H173&amp;"_ "&amp;I173&amp;"_ "&amp;J173&amp;"_ "&amp;N173&amp;"_ "&amp;O173&amp;"_R"&amp;R173</f>
        <v>Human_ RPTEC-TERT1_ CSP_ 72hr_ 2.5uM_R1</v>
      </c>
      <c r="C173" s="3" t="s">
        <v>272</v>
      </c>
      <c r="D173" s="3" t="str">
        <f>C173&amp;"_"&amp;E173</f>
        <v>LEIDEN_TQ_RPTEC_CSP3_D07</v>
      </c>
      <c r="E173" s="3" t="s">
        <v>110</v>
      </c>
      <c r="F173" s="3" t="s">
        <v>670</v>
      </c>
      <c r="G173" s="3" t="s">
        <v>626</v>
      </c>
      <c r="H173" s="3" t="s">
        <v>627</v>
      </c>
      <c r="I173" s="3" t="s">
        <v>350</v>
      </c>
      <c r="J173" s="3" t="s">
        <v>371</v>
      </c>
      <c r="K173" s="3" t="s">
        <v>671</v>
      </c>
      <c r="L173" s="3" t="s">
        <v>371</v>
      </c>
      <c r="M173" s="3">
        <v>72</v>
      </c>
      <c r="N173" s="3" t="str">
        <f>M173&amp;"hr"</f>
        <v>72hr</v>
      </c>
      <c r="O173" s="3" t="str">
        <f>P173&amp;"uM"</f>
        <v>2.5uM</v>
      </c>
      <c r="P173" s="3">
        <v>2.5</v>
      </c>
      <c r="Q173" s="3">
        <v>4</v>
      </c>
      <c r="R173">
        <v>1</v>
      </c>
      <c r="S173" s="3" t="str">
        <f>I173&amp;"_ "&amp;J173&amp;"_ "&amp;N173&amp;"_ "&amp;O173</f>
        <v>RPTEC-TERT1_ CSP_ 72hr_ 2.5uM</v>
      </c>
      <c r="T173" s="3" t="s">
        <v>592</v>
      </c>
      <c r="U173" s="3" t="s">
        <v>593</v>
      </c>
      <c r="V173" s="3">
        <v>3262597</v>
      </c>
      <c r="W173" s="3">
        <v>154.544881815167</v>
      </c>
      <c r="X173" s="3">
        <v>72</v>
      </c>
    </row>
    <row r="174" spans="1:24" x14ac:dyDescent="0.25">
      <c r="A174" s="3" t="s">
        <v>321</v>
      </c>
      <c r="B174" s="3" t="str">
        <f>H174&amp;"_ "&amp;I174&amp;"_ "&amp;J174&amp;"_ "&amp;N174&amp;"_ "&amp;O174&amp;"_R"&amp;R174</f>
        <v>Human_ RPTEC-TERT1_ CSP_ 72hr_ 2.5uM_R2</v>
      </c>
      <c r="C174" s="3" t="s">
        <v>272</v>
      </c>
      <c r="D174" s="3" t="str">
        <f>C174&amp;"_"&amp;E174</f>
        <v>LEIDEN_TQ_RPTEC_CSP3_E07</v>
      </c>
      <c r="E174" s="3" t="s">
        <v>132</v>
      </c>
      <c r="F174" s="3" t="s">
        <v>670</v>
      </c>
      <c r="G174" s="3" t="s">
        <v>626</v>
      </c>
      <c r="H174" s="3" t="s">
        <v>627</v>
      </c>
      <c r="I174" s="3" t="s">
        <v>350</v>
      </c>
      <c r="J174" s="3" t="s">
        <v>371</v>
      </c>
      <c r="K174" s="3" t="s">
        <v>671</v>
      </c>
      <c r="L174" s="3" t="s">
        <v>371</v>
      </c>
      <c r="M174" s="3">
        <v>72</v>
      </c>
      <c r="N174" s="3" t="str">
        <f>M174&amp;"hr"</f>
        <v>72hr</v>
      </c>
      <c r="O174" s="3" t="str">
        <f>P174&amp;"uM"</f>
        <v>2.5uM</v>
      </c>
      <c r="P174" s="3">
        <v>2.5</v>
      </c>
      <c r="Q174" s="3">
        <v>4</v>
      </c>
      <c r="R174">
        <v>2</v>
      </c>
      <c r="S174" s="3" t="str">
        <f>I174&amp;"_ "&amp;J174&amp;"_ "&amp;N174&amp;"_ "&amp;O174</f>
        <v>RPTEC-TERT1_ CSP_ 72hr_ 2.5uM</v>
      </c>
      <c r="T174" s="3" t="s">
        <v>592</v>
      </c>
      <c r="U174" s="3" t="s">
        <v>608</v>
      </c>
      <c r="V174" s="3">
        <v>2869496</v>
      </c>
      <c r="W174" s="3">
        <v>135.92421012742199</v>
      </c>
      <c r="X174" s="3">
        <v>72</v>
      </c>
    </row>
    <row r="175" spans="1:24" x14ac:dyDescent="0.25">
      <c r="A175" s="3" t="s">
        <v>332</v>
      </c>
      <c r="B175" s="3" t="str">
        <f>H175&amp;"_ "&amp;I175&amp;"_ "&amp;J175&amp;"_ "&amp;N175&amp;"_ "&amp;O175&amp;"_R"&amp;R175</f>
        <v>Human_ RPTEC-TERT1_ CSP_ 72hr_ 2.5uM_R3</v>
      </c>
      <c r="C175" s="3" t="s">
        <v>272</v>
      </c>
      <c r="D175" s="3" t="str">
        <f>C175&amp;"_"&amp;E175</f>
        <v>LEIDEN_TQ_RPTEC_CSP3_F07</v>
      </c>
      <c r="E175" s="3" t="s">
        <v>154</v>
      </c>
      <c r="F175" s="3" t="s">
        <v>670</v>
      </c>
      <c r="G175" s="3" t="s">
        <v>626</v>
      </c>
      <c r="H175" s="3" t="s">
        <v>627</v>
      </c>
      <c r="I175" s="3" t="s">
        <v>350</v>
      </c>
      <c r="J175" s="3" t="s">
        <v>371</v>
      </c>
      <c r="K175" s="3" t="s">
        <v>671</v>
      </c>
      <c r="L175" s="3" t="s">
        <v>371</v>
      </c>
      <c r="M175" s="3">
        <v>72</v>
      </c>
      <c r="N175" s="3" t="str">
        <f>M175&amp;"hr"</f>
        <v>72hr</v>
      </c>
      <c r="O175" s="3" t="str">
        <f>P175&amp;"uM"</f>
        <v>2.5uM</v>
      </c>
      <c r="P175" s="3">
        <v>2.5</v>
      </c>
      <c r="Q175" s="3">
        <v>4</v>
      </c>
      <c r="R175">
        <v>3</v>
      </c>
      <c r="S175" s="3" t="str">
        <f>I175&amp;"_ "&amp;J175&amp;"_ "&amp;N175&amp;"_ "&amp;O175</f>
        <v>RPTEC-TERT1_ CSP_ 72hr_ 2.5uM</v>
      </c>
      <c r="T175" s="3" t="s">
        <v>592</v>
      </c>
      <c r="U175" s="3" t="s">
        <v>619</v>
      </c>
      <c r="V175" s="3">
        <v>3013864</v>
      </c>
      <c r="W175" s="3">
        <v>142.76273033016</v>
      </c>
      <c r="X175" s="3">
        <v>72</v>
      </c>
    </row>
    <row r="176" spans="1:24" x14ac:dyDescent="0.25">
      <c r="A176" s="3" t="s">
        <v>309</v>
      </c>
      <c r="B176" s="3" t="str">
        <f>H176&amp;"_ "&amp;I176&amp;"_ "&amp;J176&amp;"_ "&amp;N176&amp;"_ "&amp;O176&amp;"_R"&amp;R176</f>
        <v>Human_ RPTEC-TERT1_ CSP_ 72hr_ 5uM_R1</v>
      </c>
      <c r="C176" s="3" t="s">
        <v>272</v>
      </c>
      <c r="D176" s="3" t="str">
        <f>C176&amp;"_"&amp;E176</f>
        <v>LEIDEN_TQ_RPTEC_CSP3_D06</v>
      </c>
      <c r="E176" s="3" t="s">
        <v>108</v>
      </c>
      <c r="F176" s="3" t="s">
        <v>670</v>
      </c>
      <c r="G176" s="3" t="s">
        <v>626</v>
      </c>
      <c r="H176" s="3" t="s">
        <v>627</v>
      </c>
      <c r="I176" s="3" t="s">
        <v>350</v>
      </c>
      <c r="J176" s="3" t="s">
        <v>371</v>
      </c>
      <c r="K176" s="3" t="s">
        <v>671</v>
      </c>
      <c r="L176" s="3" t="s">
        <v>371</v>
      </c>
      <c r="M176" s="3">
        <v>72</v>
      </c>
      <c r="N176" s="3" t="str">
        <f>M176&amp;"hr"</f>
        <v>72hr</v>
      </c>
      <c r="O176" s="3" t="str">
        <f>P176&amp;"uM"</f>
        <v>5uM</v>
      </c>
      <c r="P176" s="3">
        <v>5</v>
      </c>
      <c r="Q176" s="3">
        <v>5</v>
      </c>
      <c r="R176">
        <v>1</v>
      </c>
      <c r="S176" s="3" t="str">
        <f>I176&amp;"_ "&amp;J176&amp;"_ "&amp;N176&amp;"_ "&amp;O176</f>
        <v>RPTEC-TERT1_ CSP_ 72hr_ 5uM</v>
      </c>
      <c r="T176" s="3" t="s">
        <v>590</v>
      </c>
      <c r="U176" s="3" t="s">
        <v>591</v>
      </c>
      <c r="V176" s="3">
        <v>3391785</v>
      </c>
      <c r="W176" s="3">
        <v>160.66434560181901</v>
      </c>
      <c r="X176" s="3">
        <v>72</v>
      </c>
    </row>
    <row r="177" spans="1:24" x14ac:dyDescent="0.25">
      <c r="A177" s="3" t="s">
        <v>320</v>
      </c>
      <c r="B177" s="3" t="str">
        <f>H177&amp;"_ "&amp;I177&amp;"_ "&amp;J177&amp;"_ "&amp;N177&amp;"_ "&amp;O177&amp;"_R"&amp;R177</f>
        <v>Human_ RPTEC-TERT1_ CSP_ 72hr_ 5uM_R2</v>
      </c>
      <c r="C177" s="3" t="s">
        <v>272</v>
      </c>
      <c r="D177" s="3" t="str">
        <f>C177&amp;"_"&amp;E177</f>
        <v>LEIDEN_TQ_RPTEC_CSP3_E06</v>
      </c>
      <c r="E177" s="3" t="s">
        <v>130</v>
      </c>
      <c r="F177" s="3" t="s">
        <v>670</v>
      </c>
      <c r="G177" s="3" t="s">
        <v>626</v>
      </c>
      <c r="H177" s="3" t="s">
        <v>627</v>
      </c>
      <c r="I177" s="3" t="s">
        <v>350</v>
      </c>
      <c r="J177" s="3" t="s">
        <v>371</v>
      </c>
      <c r="K177" s="3" t="s">
        <v>671</v>
      </c>
      <c r="L177" s="3" t="s">
        <v>371</v>
      </c>
      <c r="M177" s="3">
        <v>72</v>
      </c>
      <c r="N177" s="3" t="str">
        <f>M177&amp;"hr"</f>
        <v>72hr</v>
      </c>
      <c r="O177" s="3" t="str">
        <f>P177&amp;"uM"</f>
        <v>5uM</v>
      </c>
      <c r="P177" s="3">
        <v>5</v>
      </c>
      <c r="Q177" s="3">
        <v>5</v>
      </c>
      <c r="R177">
        <v>2</v>
      </c>
      <c r="S177" s="3" t="str">
        <f>I177&amp;"_ "&amp;J177&amp;"_ "&amp;N177&amp;"_ "&amp;O177</f>
        <v>RPTEC-TERT1_ CSP_ 72hr_ 5uM</v>
      </c>
      <c r="T177" s="3" t="s">
        <v>590</v>
      </c>
      <c r="U177" s="3" t="s">
        <v>607</v>
      </c>
      <c r="V177" s="3">
        <v>5150864</v>
      </c>
      <c r="W177" s="3">
        <v>243.98957889252</v>
      </c>
      <c r="X177" s="3">
        <v>72</v>
      </c>
    </row>
    <row r="178" spans="1:24" x14ac:dyDescent="0.25">
      <c r="A178" s="3" t="s">
        <v>331</v>
      </c>
      <c r="B178" s="3" t="str">
        <f>H178&amp;"_ "&amp;I178&amp;"_ "&amp;J178&amp;"_ "&amp;N178&amp;"_ "&amp;O178&amp;"_R"&amp;R178</f>
        <v>Human_ RPTEC-TERT1_ CSP_ 72hr_ 5uM_R3</v>
      </c>
      <c r="C178" s="3" t="s">
        <v>272</v>
      </c>
      <c r="D178" s="3" t="str">
        <f>C178&amp;"_"&amp;E178</f>
        <v>LEIDEN_TQ_RPTEC_CSP3_F06</v>
      </c>
      <c r="E178" s="3" t="s">
        <v>152</v>
      </c>
      <c r="F178" s="3" t="s">
        <v>670</v>
      </c>
      <c r="G178" s="3" t="s">
        <v>626</v>
      </c>
      <c r="H178" s="3" t="s">
        <v>627</v>
      </c>
      <c r="I178" s="3" t="s">
        <v>350</v>
      </c>
      <c r="J178" s="3" t="s">
        <v>371</v>
      </c>
      <c r="K178" s="3" t="s">
        <v>671</v>
      </c>
      <c r="L178" s="3" t="s">
        <v>371</v>
      </c>
      <c r="M178" s="3">
        <v>72</v>
      </c>
      <c r="N178" s="3" t="str">
        <f>M178&amp;"hr"</f>
        <v>72hr</v>
      </c>
      <c r="O178" s="3" t="str">
        <f>P178&amp;"uM"</f>
        <v>5uM</v>
      </c>
      <c r="P178" s="3">
        <v>5</v>
      </c>
      <c r="Q178" s="3">
        <v>5</v>
      </c>
      <c r="R178">
        <v>3</v>
      </c>
      <c r="S178" s="3" t="str">
        <f>I178&amp;"_ "&amp;J178&amp;"_ "&amp;N178&amp;"_ "&amp;O178</f>
        <v>RPTEC-TERT1_ CSP_ 72hr_ 5uM</v>
      </c>
      <c r="T178" s="3" t="s">
        <v>590</v>
      </c>
      <c r="U178" s="3" t="s">
        <v>618</v>
      </c>
      <c r="V178" s="3">
        <v>3406553</v>
      </c>
      <c r="W178" s="3">
        <v>161.36388612571599</v>
      </c>
      <c r="X178" s="3">
        <v>72</v>
      </c>
    </row>
    <row r="179" spans="1:24" x14ac:dyDescent="0.25">
      <c r="A179" s="3" t="s">
        <v>308</v>
      </c>
      <c r="B179" s="3" t="str">
        <f>H179&amp;"_ "&amp;I179&amp;"_ "&amp;J179&amp;"_ "&amp;N179&amp;"_ "&amp;O179&amp;"_R"&amp;R179</f>
        <v>Human_ RPTEC-TERT1_ CSP_ 72hr_ 10uM_R1</v>
      </c>
      <c r="C179" s="3" t="s">
        <v>272</v>
      </c>
      <c r="D179" s="3" t="str">
        <f>C179&amp;"_"&amp;E179</f>
        <v>LEIDEN_TQ_RPTEC_CSP3_D05</v>
      </c>
      <c r="E179" s="3" t="s">
        <v>106</v>
      </c>
      <c r="F179" s="3" t="s">
        <v>670</v>
      </c>
      <c r="G179" s="3" t="s">
        <v>626</v>
      </c>
      <c r="H179" s="3" t="s">
        <v>627</v>
      </c>
      <c r="I179" s="3" t="s">
        <v>350</v>
      </c>
      <c r="J179" s="3" t="s">
        <v>371</v>
      </c>
      <c r="K179" s="3" t="s">
        <v>671</v>
      </c>
      <c r="L179" s="3" t="s">
        <v>371</v>
      </c>
      <c r="M179" s="3">
        <v>72</v>
      </c>
      <c r="N179" s="3" t="str">
        <f>M179&amp;"hr"</f>
        <v>72hr</v>
      </c>
      <c r="O179" s="3" t="str">
        <f>P179&amp;"uM"</f>
        <v>10uM</v>
      </c>
      <c r="P179" s="3">
        <v>10</v>
      </c>
      <c r="Q179" s="3">
        <v>6</v>
      </c>
      <c r="R179">
        <v>1</v>
      </c>
      <c r="S179" s="3" t="str">
        <f>I179&amp;"_ "&amp;J179&amp;"_ "&amp;N179&amp;"_ "&amp;O179</f>
        <v>RPTEC-TERT1_ CSP_ 72hr_ 10uM</v>
      </c>
      <c r="T179" s="3" t="s">
        <v>588</v>
      </c>
      <c r="U179" s="3" t="s">
        <v>589</v>
      </c>
      <c r="V179" s="3">
        <v>1784127</v>
      </c>
      <c r="W179" s="3">
        <v>84.511723745914495</v>
      </c>
      <c r="X179" s="3">
        <v>72</v>
      </c>
    </row>
    <row r="180" spans="1:24" x14ac:dyDescent="0.25">
      <c r="A180" s="3" t="s">
        <v>319</v>
      </c>
      <c r="B180" s="3" t="str">
        <f>H180&amp;"_ "&amp;I180&amp;"_ "&amp;J180&amp;"_ "&amp;N180&amp;"_ "&amp;O180&amp;"_R"&amp;R180</f>
        <v>Human_ RPTEC-TERT1_ CSP_ 72hr_ 10uM_R2</v>
      </c>
      <c r="C180" s="3" t="s">
        <v>272</v>
      </c>
      <c r="D180" s="3" t="str">
        <f>C180&amp;"_"&amp;E180</f>
        <v>LEIDEN_TQ_RPTEC_CSP3_E05</v>
      </c>
      <c r="E180" s="3" t="s">
        <v>128</v>
      </c>
      <c r="F180" s="3" t="s">
        <v>670</v>
      </c>
      <c r="G180" s="3" t="s">
        <v>626</v>
      </c>
      <c r="H180" s="3" t="s">
        <v>627</v>
      </c>
      <c r="I180" s="3" t="s">
        <v>350</v>
      </c>
      <c r="J180" s="3" t="s">
        <v>371</v>
      </c>
      <c r="K180" s="3" t="s">
        <v>671</v>
      </c>
      <c r="L180" s="3" t="s">
        <v>371</v>
      </c>
      <c r="M180" s="3">
        <v>72</v>
      </c>
      <c r="N180" s="3" t="str">
        <f>M180&amp;"hr"</f>
        <v>72hr</v>
      </c>
      <c r="O180" s="3" t="str">
        <f>P180&amp;"uM"</f>
        <v>10uM</v>
      </c>
      <c r="P180" s="3">
        <v>10</v>
      </c>
      <c r="Q180" s="3">
        <v>6</v>
      </c>
      <c r="R180">
        <v>2</v>
      </c>
      <c r="S180" s="3" t="str">
        <f>I180&amp;"_ "&amp;J180&amp;"_ "&amp;N180&amp;"_ "&amp;O180</f>
        <v>RPTEC-TERT1_ CSP_ 72hr_ 10uM</v>
      </c>
      <c r="T180" s="3" t="s">
        <v>588</v>
      </c>
      <c r="U180" s="3" t="s">
        <v>606</v>
      </c>
      <c r="V180" s="3">
        <v>3983853</v>
      </c>
      <c r="W180" s="3">
        <v>188.70981952536599</v>
      </c>
      <c r="X180" s="3">
        <v>72</v>
      </c>
    </row>
    <row r="181" spans="1:24" x14ac:dyDescent="0.25">
      <c r="A181" s="3" t="s">
        <v>330</v>
      </c>
      <c r="B181" s="3" t="str">
        <f>H181&amp;"_ "&amp;I181&amp;"_ "&amp;J181&amp;"_ "&amp;N181&amp;"_ "&amp;O181&amp;"_R"&amp;R181</f>
        <v>Human_ RPTEC-TERT1_ CSP_ 72hr_ 10uM_R3</v>
      </c>
      <c r="C181" s="3" t="s">
        <v>272</v>
      </c>
      <c r="D181" s="3" t="str">
        <f>C181&amp;"_"&amp;E181</f>
        <v>LEIDEN_TQ_RPTEC_CSP3_F05</v>
      </c>
      <c r="E181" s="3" t="s">
        <v>150</v>
      </c>
      <c r="F181" s="3" t="s">
        <v>670</v>
      </c>
      <c r="G181" s="3" t="s">
        <v>626</v>
      </c>
      <c r="H181" s="3" t="s">
        <v>627</v>
      </c>
      <c r="I181" s="3" t="s">
        <v>350</v>
      </c>
      <c r="J181" s="3" t="s">
        <v>371</v>
      </c>
      <c r="K181" s="3" t="s">
        <v>671</v>
      </c>
      <c r="L181" s="3" t="s">
        <v>371</v>
      </c>
      <c r="M181" s="3">
        <v>72</v>
      </c>
      <c r="N181" s="3" t="str">
        <f>M181&amp;"hr"</f>
        <v>72hr</v>
      </c>
      <c r="O181" s="3" t="str">
        <f>P181&amp;"uM"</f>
        <v>10uM</v>
      </c>
      <c r="P181" s="3">
        <v>10</v>
      </c>
      <c r="Q181" s="3">
        <v>6</v>
      </c>
      <c r="R181">
        <v>3</v>
      </c>
      <c r="S181" s="3" t="str">
        <f>I181&amp;"_ "&amp;J181&amp;"_ "&amp;N181&amp;"_ "&amp;O181</f>
        <v>RPTEC-TERT1_ CSP_ 72hr_ 10uM</v>
      </c>
      <c r="T181" s="3" t="s">
        <v>588</v>
      </c>
      <c r="U181" s="3" t="s">
        <v>617</v>
      </c>
      <c r="V181" s="3">
        <v>4714754</v>
      </c>
      <c r="W181" s="3">
        <v>223.33162806120001</v>
      </c>
      <c r="X181" s="3">
        <v>72</v>
      </c>
    </row>
    <row r="182" spans="1:24" x14ac:dyDescent="0.25">
      <c r="A182" s="3" t="s">
        <v>307</v>
      </c>
      <c r="B182" s="3" t="str">
        <f>H182&amp;"_ "&amp;I182&amp;"_ "&amp;J182&amp;"_ "&amp;N182&amp;"_ "&amp;O182&amp;"_R"&amp;R182</f>
        <v>Human_ RPTEC-TERT1_ CSP_ 72hr_ 20uM_R1</v>
      </c>
      <c r="C182" s="3" t="s">
        <v>272</v>
      </c>
      <c r="D182" s="3" t="str">
        <f>C182&amp;"_"&amp;E182</f>
        <v>LEIDEN_TQ_RPTEC_CSP3_D04</v>
      </c>
      <c r="E182" s="3" t="s">
        <v>104</v>
      </c>
      <c r="F182" s="3" t="s">
        <v>670</v>
      </c>
      <c r="G182" s="3" t="s">
        <v>626</v>
      </c>
      <c r="H182" s="3" t="s">
        <v>627</v>
      </c>
      <c r="I182" s="3" t="s">
        <v>350</v>
      </c>
      <c r="J182" s="3" t="s">
        <v>371</v>
      </c>
      <c r="K182" s="3" t="s">
        <v>671</v>
      </c>
      <c r="L182" s="3" t="s">
        <v>371</v>
      </c>
      <c r="M182" s="3">
        <v>72</v>
      </c>
      <c r="N182" s="3" t="str">
        <f>M182&amp;"hr"</f>
        <v>72hr</v>
      </c>
      <c r="O182" s="3" t="str">
        <f>P182&amp;"uM"</f>
        <v>20uM</v>
      </c>
      <c r="P182" s="3">
        <v>20</v>
      </c>
      <c r="Q182" s="3">
        <v>7</v>
      </c>
      <c r="R182">
        <v>1</v>
      </c>
      <c r="S182" s="3" t="str">
        <f>I182&amp;"_ "&amp;J182&amp;"_ "&amp;N182&amp;"_ "&amp;O182</f>
        <v>RPTEC-TERT1_ CSP_ 72hr_ 20uM</v>
      </c>
      <c r="T182" s="3" t="s">
        <v>586</v>
      </c>
      <c r="U182" s="3" t="s">
        <v>587</v>
      </c>
      <c r="V182" s="3">
        <v>4694128</v>
      </c>
      <c r="W182" s="3">
        <v>222.35460186632599</v>
      </c>
      <c r="X182" s="3">
        <v>72</v>
      </c>
    </row>
    <row r="183" spans="1:24" x14ac:dyDescent="0.25">
      <c r="A183" s="3" t="s">
        <v>318</v>
      </c>
      <c r="B183" s="3" t="str">
        <f>H183&amp;"_ "&amp;I183&amp;"_ "&amp;J183&amp;"_ "&amp;N183&amp;"_ "&amp;O183&amp;"_R"&amp;R183</f>
        <v>Human_ RPTEC-TERT1_ CSP_ 72hr_ 20uM_R2</v>
      </c>
      <c r="C183" s="3" t="s">
        <v>272</v>
      </c>
      <c r="D183" s="3" t="str">
        <f>C183&amp;"_"&amp;E183</f>
        <v>LEIDEN_TQ_RPTEC_CSP3_E04</v>
      </c>
      <c r="E183" s="3" t="s">
        <v>126</v>
      </c>
      <c r="F183" s="3" t="s">
        <v>670</v>
      </c>
      <c r="G183" s="3" t="s">
        <v>626</v>
      </c>
      <c r="H183" s="3" t="s">
        <v>627</v>
      </c>
      <c r="I183" s="3" t="s">
        <v>350</v>
      </c>
      <c r="J183" s="3" t="s">
        <v>371</v>
      </c>
      <c r="K183" s="3" t="s">
        <v>671</v>
      </c>
      <c r="L183" s="3" t="s">
        <v>371</v>
      </c>
      <c r="M183" s="3">
        <v>72</v>
      </c>
      <c r="N183" s="3" t="str">
        <f>M183&amp;"hr"</f>
        <v>72hr</v>
      </c>
      <c r="O183" s="3" t="str">
        <f>P183&amp;"uM"</f>
        <v>20uM</v>
      </c>
      <c r="P183" s="3">
        <v>20</v>
      </c>
      <c r="Q183" s="3">
        <v>7</v>
      </c>
      <c r="R183">
        <v>2</v>
      </c>
      <c r="S183" s="3" t="str">
        <f>I183&amp;"_ "&amp;J183&amp;"_ "&amp;N183&amp;"_ "&amp;O183</f>
        <v>RPTEC-TERT1_ CSP_ 72hr_ 20uM</v>
      </c>
      <c r="T183" s="3" t="s">
        <v>586</v>
      </c>
      <c r="U183" s="3" t="s">
        <v>605</v>
      </c>
      <c r="V183" s="3">
        <v>3448561</v>
      </c>
      <c r="W183" s="3">
        <v>163.35374923025901</v>
      </c>
      <c r="X183" s="3">
        <v>72</v>
      </c>
    </row>
    <row r="184" spans="1:24" x14ac:dyDescent="0.25">
      <c r="A184" s="3" t="s">
        <v>329</v>
      </c>
      <c r="B184" s="3" t="str">
        <f>H184&amp;"_ "&amp;I184&amp;"_ "&amp;J184&amp;"_ "&amp;N184&amp;"_ "&amp;O184&amp;"_R"&amp;R184</f>
        <v>Human_ RPTEC-TERT1_ CSP_ 72hr_ 20uM_R3</v>
      </c>
      <c r="C184" s="3" t="s">
        <v>272</v>
      </c>
      <c r="D184" s="3" t="str">
        <f>C184&amp;"_"&amp;E184</f>
        <v>LEIDEN_TQ_RPTEC_CSP3_F04</v>
      </c>
      <c r="E184" s="3" t="s">
        <v>148</v>
      </c>
      <c r="F184" s="3" t="s">
        <v>670</v>
      </c>
      <c r="G184" s="3" t="s">
        <v>626</v>
      </c>
      <c r="H184" s="3" t="s">
        <v>627</v>
      </c>
      <c r="I184" s="3" t="s">
        <v>350</v>
      </c>
      <c r="J184" s="3" t="s">
        <v>371</v>
      </c>
      <c r="K184" s="3" t="s">
        <v>671</v>
      </c>
      <c r="L184" s="3" t="s">
        <v>371</v>
      </c>
      <c r="M184" s="3">
        <v>72</v>
      </c>
      <c r="N184" s="3" t="str">
        <f>M184&amp;"hr"</f>
        <v>72hr</v>
      </c>
      <c r="O184" s="3" t="str">
        <f>P184&amp;"uM"</f>
        <v>20uM</v>
      </c>
      <c r="P184" s="3">
        <v>20</v>
      </c>
      <c r="Q184" s="3">
        <v>7</v>
      </c>
      <c r="R184">
        <v>3</v>
      </c>
      <c r="S184" s="3" t="str">
        <f>I184&amp;"_ "&amp;J184&amp;"_ "&amp;N184&amp;"_ "&amp;O184</f>
        <v>RPTEC-TERT1_ CSP_ 72hr_ 20uM</v>
      </c>
      <c r="T184" s="3" t="s">
        <v>586</v>
      </c>
      <c r="U184" s="3" t="s">
        <v>616</v>
      </c>
      <c r="V184" s="3">
        <v>994668</v>
      </c>
      <c r="W184" s="3">
        <v>47.116100611055799</v>
      </c>
      <c r="X184" s="3">
        <v>72</v>
      </c>
    </row>
    <row r="185" spans="1:24" x14ac:dyDescent="0.25">
      <c r="A185" s="3" t="s">
        <v>306</v>
      </c>
      <c r="B185" s="3" t="str">
        <f>H185&amp;"_ "&amp;I185&amp;"_ "&amp;J185&amp;"_ "&amp;N185&amp;"_ "&amp;O185&amp;"_R"&amp;R185</f>
        <v>Human_ RPTEC-TERT1_ CSP_ 72hr_ 30uM_R1</v>
      </c>
      <c r="C185" s="3" t="s">
        <v>272</v>
      </c>
      <c r="D185" s="3" t="str">
        <f>C185&amp;"_"&amp;E185</f>
        <v>LEIDEN_TQ_RPTEC_CSP3_D03</v>
      </c>
      <c r="E185" s="3" t="s">
        <v>102</v>
      </c>
      <c r="F185" s="3" t="s">
        <v>670</v>
      </c>
      <c r="G185" s="3" t="s">
        <v>626</v>
      </c>
      <c r="H185" s="3" t="s">
        <v>627</v>
      </c>
      <c r="I185" s="3" t="s">
        <v>350</v>
      </c>
      <c r="J185" s="3" t="s">
        <v>371</v>
      </c>
      <c r="K185" s="3" t="s">
        <v>671</v>
      </c>
      <c r="L185" s="3" t="s">
        <v>371</v>
      </c>
      <c r="M185" s="3">
        <v>72</v>
      </c>
      <c r="N185" s="3" t="str">
        <f>M185&amp;"hr"</f>
        <v>72hr</v>
      </c>
      <c r="O185" s="3" t="str">
        <f>P185&amp;"uM"</f>
        <v>30uM</v>
      </c>
      <c r="P185" s="3">
        <v>30</v>
      </c>
      <c r="Q185" s="3">
        <v>8</v>
      </c>
      <c r="R185">
        <v>1</v>
      </c>
      <c r="S185" s="3" t="str">
        <f>I185&amp;"_ "&amp;J185&amp;"_ "&amp;N185&amp;"_ "&amp;O185</f>
        <v>RPTEC-TERT1_ CSP_ 72hr_ 30uM</v>
      </c>
      <c r="T185" s="3" t="s">
        <v>584</v>
      </c>
      <c r="U185" s="3" t="s">
        <v>585</v>
      </c>
      <c r="V185" s="3">
        <v>3571755</v>
      </c>
      <c r="W185" s="3">
        <v>169.189285206764</v>
      </c>
      <c r="X185" s="3">
        <v>72</v>
      </c>
    </row>
    <row r="186" spans="1:24" x14ac:dyDescent="0.25">
      <c r="A186" s="3" t="s">
        <v>317</v>
      </c>
      <c r="B186" s="3" t="str">
        <f>H186&amp;"_ "&amp;I186&amp;"_ "&amp;J186&amp;"_ "&amp;N186&amp;"_ "&amp;O186&amp;"_R"&amp;R186</f>
        <v>Human_ RPTEC-TERT1_ CSP_ 72hr_ 30uM_R2</v>
      </c>
      <c r="C186" s="3" t="s">
        <v>272</v>
      </c>
      <c r="D186" s="3" t="str">
        <f>C186&amp;"_"&amp;E186</f>
        <v>LEIDEN_TQ_RPTEC_CSP3_E03</v>
      </c>
      <c r="E186" s="3" t="s">
        <v>124</v>
      </c>
      <c r="F186" s="3" t="s">
        <v>670</v>
      </c>
      <c r="G186" s="3" t="s">
        <v>626</v>
      </c>
      <c r="H186" s="3" t="s">
        <v>627</v>
      </c>
      <c r="I186" s="3" t="s">
        <v>350</v>
      </c>
      <c r="J186" s="3" t="s">
        <v>371</v>
      </c>
      <c r="K186" s="3" t="s">
        <v>671</v>
      </c>
      <c r="L186" s="3" t="s">
        <v>371</v>
      </c>
      <c r="M186" s="3">
        <v>72</v>
      </c>
      <c r="N186" s="3" t="str">
        <f>M186&amp;"hr"</f>
        <v>72hr</v>
      </c>
      <c r="O186" s="3" t="str">
        <f>P186&amp;"uM"</f>
        <v>30uM</v>
      </c>
      <c r="P186" s="3">
        <v>30</v>
      </c>
      <c r="Q186" s="3">
        <v>8</v>
      </c>
      <c r="R186">
        <v>2</v>
      </c>
      <c r="S186" s="3" t="str">
        <f>I186&amp;"_ "&amp;J186&amp;"_ "&amp;N186&amp;"_ "&amp;O186</f>
        <v>RPTEC-TERT1_ CSP_ 72hr_ 30uM</v>
      </c>
      <c r="T186" s="3" t="s">
        <v>584</v>
      </c>
      <c r="U186" s="3" t="s">
        <v>604</v>
      </c>
      <c r="V186" s="3">
        <v>3375731</v>
      </c>
      <c r="W186" s="3">
        <v>159.90388896783699</v>
      </c>
      <c r="X186" s="3">
        <v>72</v>
      </c>
    </row>
    <row r="187" spans="1:24" x14ac:dyDescent="0.25">
      <c r="A187" s="3" t="s">
        <v>328</v>
      </c>
      <c r="B187" s="3" t="str">
        <f>H187&amp;"_ "&amp;I187&amp;"_ "&amp;J187&amp;"_ "&amp;N187&amp;"_ "&amp;O187&amp;"_R"&amp;R187</f>
        <v>Human_ RPTEC-TERT1_ CSP_ 72hr_ 30uM_R3</v>
      </c>
      <c r="C187" s="3" t="s">
        <v>272</v>
      </c>
      <c r="D187" s="3" t="str">
        <f>C187&amp;"_"&amp;E187</f>
        <v>LEIDEN_TQ_RPTEC_CSP3_F03</v>
      </c>
      <c r="E187" s="3" t="s">
        <v>146</v>
      </c>
      <c r="F187" s="3" t="s">
        <v>670</v>
      </c>
      <c r="G187" s="3" t="s">
        <v>626</v>
      </c>
      <c r="H187" s="3" t="s">
        <v>627</v>
      </c>
      <c r="I187" s="3" t="s">
        <v>350</v>
      </c>
      <c r="J187" s="3" t="s">
        <v>371</v>
      </c>
      <c r="K187" s="3" t="s">
        <v>671</v>
      </c>
      <c r="L187" s="3" t="s">
        <v>371</v>
      </c>
      <c r="M187" s="3">
        <v>72</v>
      </c>
      <c r="N187" s="3" t="str">
        <f>M187&amp;"hr"</f>
        <v>72hr</v>
      </c>
      <c r="O187" s="3" t="str">
        <f>P187&amp;"uM"</f>
        <v>30uM</v>
      </c>
      <c r="P187" s="3">
        <v>30</v>
      </c>
      <c r="Q187" s="3">
        <v>8</v>
      </c>
      <c r="R187">
        <v>3</v>
      </c>
      <c r="S187" s="3" t="str">
        <f>I187&amp;"_ "&amp;J187&amp;"_ "&amp;N187&amp;"_ "&amp;O187</f>
        <v>RPTEC-TERT1_ CSP_ 72hr_ 30uM</v>
      </c>
      <c r="T187" s="3" t="s">
        <v>584</v>
      </c>
      <c r="U187" s="3" t="s">
        <v>615</v>
      </c>
      <c r="V187" s="3">
        <v>3106681</v>
      </c>
      <c r="W187" s="3">
        <v>147.159348207096</v>
      </c>
      <c r="X187" s="3">
        <v>72</v>
      </c>
    </row>
    <row r="188" spans="1:24" x14ac:dyDescent="0.25">
      <c r="A188" s="3" t="s">
        <v>305</v>
      </c>
      <c r="B188" s="3" t="str">
        <f>H188&amp;"_ "&amp;I188&amp;"_ "&amp;J188&amp;"_ "&amp;N188&amp;"_ "&amp;O188&amp;"_R"&amp;R188</f>
        <v>Human_ RPTEC-TERT1_ CSP_ 72hr_ 50uM_R1</v>
      </c>
      <c r="C188" s="3" t="s">
        <v>272</v>
      </c>
      <c r="D188" s="3" t="str">
        <f>C188&amp;"_"&amp;E188</f>
        <v>LEIDEN_TQ_RPTEC_CSP3_D02</v>
      </c>
      <c r="E188" s="3" t="s">
        <v>100</v>
      </c>
      <c r="F188" s="3" t="s">
        <v>670</v>
      </c>
      <c r="G188" s="3" t="s">
        <v>626</v>
      </c>
      <c r="H188" s="3" t="s">
        <v>627</v>
      </c>
      <c r="I188" s="3" t="s">
        <v>350</v>
      </c>
      <c r="J188" s="3" t="s">
        <v>371</v>
      </c>
      <c r="K188" s="3" t="s">
        <v>671</v>
      </c>
      <c r="L188" s="3" t="s">
        <v>371</v>
      </c>
      <c r="M188" s="3">
        <v>72</v>
      </c>
      <c r="N188" s="3" t="str">
        <f>M188&amp;"hr"</f>
        <v>72hr</v>
      </c>
      <c r="O188" s="3" t="str">
        <f>P188&amp;"uM"</f>
        <v>50uM</v>
      </c>
      <c r="P188" s="3">
        <v>50</v>
      </c>
      <c r="Q188" s="3">
        <v>9</v>
      </c>
      <c r="R188">
        <v>1</v>
      </c>
      <c r="S188" s="3" t="str">
        <f>I188&amp;"_ "&amp;J188&amp;"_ "&amp;N188&amp;"_ "&amp;O188</f>
        <v>RPTEC-TERT1_ CSP_ 72hr_ 50uM</v>
      </c>
      <c r="T188" s="3" t="s">
        <v>582</v>
      </c>
      <c r="U188" s="3" t="s">
        <v>583</v>
      </c>
      <c r="V188" s="3">
        <v>805331</v>
      </c>
      <c r="W188" s="3">
        <v>38.1474586708351</v>
      </c>
      <c r="X188" s="3">
        <v>72</v>
      </c>
    </row>
    <row r="189" spans="1:24" x14ac:dyDescent="0.25">
      <c r="A189" s="3" t="s">
        <v>316</v>
      </c>
      <c r="B189" s="3" t="str">
        <f>H189&amp;"_ "&amp;I189&amp;"_ "&amp;J189&amp;"_ "&amp;N189&amp;"_ "&amp;O189&amp;"_R"&amp;R189</f>
        <v>Human_ RPTEC-TERT1_ CSP_ 72hr_ 50uM_R2</v>
      </c>
      <c r="C189" s="3" t="s">
        <v>272</v>
      </c>
      <c r="D189" s="3" t="str">
        <f>C189&amp;"_"&amp;E189</f>
        <v>LEIDEN_TQ_RPTEC_CSP3_E02</v>
      </c>
      <c r="E189" s="3" t="s">
        <v>122</v>
      </c>
      <c r="F189" s="3" t="s">
        <v>670</v>
      </c>
      <c r="G189" s="3" t="s">
        <v>626</v>
      </c>
      <c r="H189" s="3" t="s">
        <v>627</v>
      </c>
      <c r="I189" s="3" t="s">
        <v>350</v>
      </c>
      <c r="J189" s="3" t="s">
        <v>371</v>
      </c>
      <c r="K189" s="3" t="s">
        <v>671</v>
      </c>
      <c r="L189" s="3" t="s">
        <v>371</v>
      </c>
      <c r="M189" s="3">
        <v>72</v>
      </c>
      <c r="N189" s="3" t="str">
        <f>M189&amp;"hr"</f>
        <v>72hr</v>
      </c>
      <c r="O189" s="3" t="str">
        <f>P189&amp;"uM"</f>
        <v>50uM</v>
      </c>
      <c r="P189" s="3">
        <v>50</v>
      </c>
      <c r="Q189" s="3">
        <v>9</v>
      </c>
      <c r="R189">
        <v>2</v>
      </c>
      <c r="S189" s="3" t="str">
        <f>I189&amp;"_ "&amp;J189&amp;"_ "&amp;N189&amp;"_ "&amp;O189</f>
        <v>RPTEC-TERT1_ CSP_ 72hr_ 50uM</v>
      </c>
      <c r="T189" s="3" t="s">
        <v>582</v>
      </c>
      <c r="U189" s="3" t="s">
        <v>603</v>
      </c>
      <c r="V189" s="3">
        <v>2314441</v>
      </c>
      <c r="W189" s="3">
        <v>109.63199279996201</v>
      </c>
      <c r="X189" s="3">
        <v>72</v>
      </c>
    </row>
    <row r="190" spans="1:24" x14ac:dyDescent="0.25">
      <c r="A190" s="3" t="s">
        <v>327</v>
      </c>
      <c r="B190" s="3" t="str">
        <f>H190&amp;"_ "&amp;I190&amp;"_ "&amp;J190&amp;"_ "&amp;N190&amp;"_ "&amp;O190&amp;"_R"&amp;R190</f>
        <v>Human_ RPTEC-TERT1_ CSP_ 72hr_ 50uM_R3</v>
      </c>
      <c r="C190" s="3" t="s">
        <v>272</v>
      </c>
      <c r="D190" s="3" t="str">
        <f>C190&amp;"_"&amp;E190</f>
        <v>LEIDEN_TQ_RPTEC_CSP3_F02</v>
      </c>
      <c r="E190" s="3" t="s">
        <v>144</v>
      </c>
      <c r="F190" s="3" t="s">
        <v>670</v>
      </c>
      <c r="G190" s="3" t="s">
        <v>626</v>
      </c>
      <c r="H190" s="3" t="s">
        <v>627</v>
      </c>
      <c r="I190" s="3" t="s">
        <v>350</v>
      </c>
      <c r="J190" s="3" t="s">
        <v>371</v>
      </c>
      <c r="K190" s="3" t="s">
        <v>671</v>
      </c>
      <c r="L190" s="3" t="s">
        <v>371</v>
      </c>
      <c r="M190" s="3">
        <v>72</v>
      </c>
      <c r="N190" s="3" t="str">
        <f>M190&amp;"hr"</f>
        <v>72hr</v>
      </c>
      <c r="O190" s="3" t="str">
        <f>P190&amp;"uM"</f>
        <v>50uM</v>
      </c>
      <c r="P190" s="3">
        <v>50</v>
      </c>
      <c r="Q190" s="3">
        <v>9</v>
      </c>
      <c r="R190">
        <v>3</v>
      </c>
      <c r="S190" s="3" t="str">
        <f>I190&amp;"_ "&amp;J190&amp;"_ "&amp;N190&amp;"_ "&amp;O190</f>
        <v>RPTEC-TERT1_ CSP_ 72hr_ 50uM</v>
      </c>
      <c r="T190" s="3" t="s">
        <v>582</v>
      </c>
      <c r="U190" s="3" t="s">
        <v>614</v>
      </c>
      <c r="V190" s="3">
        <v>3271357</v>
      </c>
      <c r="W190" s="3">
        <v>154.95983136753401</v>
      </c>
      <c r="X190" s="3">
        <v>72</v>
      </c>
    </row>
    <row r="191" spans="1:24" x14ac:dyDescent="0.25">
      <c r="A191" s="3" t="s">
        <v>19</v>
      </c>
      <c r="B191" s="3" t="str">
        <f>H191&amp;"_ "&amp;I191&amp;"_ "&amp;J191&amp;"_ "&amp;N191&amp;"_ "&amp;O191&amp;"_R"&amp;R191</f>
        <v>Human_ RPTEC-TERT1_ DMEM_ 0hr_ 0uM_R1</v>
      </c>
      <c r="C191" s="3" t="s">
        <v>15</v>
      </c>
      <c r="D191" s="3" t="str">
        <f>C191&amp;"_"&amp;E191</f>
        <v>LEIDEN_TQ_RPTEC_CSP1_G2</v>
      </c>
      <c r="E191" s="3" t="s">
        <v>20</v>
      </c>
      <c r="F191" s="3" t="s">
        <v>668</v>
      </c>
      <c r="G191" s="3" t="s">
        <v>626</v>
      </c>
      <c r="H191" s="3" t="s">
        <v>627</v>
      </c>
      <c r="I191" s="3" t="s">
        <v>350</v>
      </c>
      <c r="J191" s="3" t="s">
        <v>21</v>
      </c>
      <c r="K191" s="3" t="s">
        <v>21</v>
      </c>
      <c r="L191" s="3" t="s">
        <v>21</v>
      </c>
      <c r="M191" s="3">
        <v>0</v>
      </c>
      <c r="N191" s="3" t="str">
        <f>M191&amp;"hr"</f>
        <v>0hr</v>
      </c>
      <c r="O191" s="3" t="str">
        <f>P191&amp;"uM"</f>
        <v>0uM</v>
      </c>
      <c r="P191" s="3">
        <v>0</v>
      </c>
      <c r="Q191" s="3">
        <v>0</v>
      </c>
      <c r="R191">
        <v>1</v>
      </c>
      <c r="S191" s="3" t="str">
        <f>I191&amp;"_ "&amp;J191&amp;"_ "&amp;N191&amp;"_ "&amp;O191</f>
        <v>RPTEC-TERT1_ DMEM_ 0hr_ 0uM</v>
      </c>
      <c r="T191" s="3" t="s">
        <v>364</v>
      </c>
      <c r="U191" s="3" t="s">
        <v>365</v>
      </c>
      <c r="V191" s="3">
        <v>4595162</v>
      </c>
      <c r="W191" s="3">
        <v>217.66671403533701</v>
      </c>
      <c r="X191" s="3">
        <v>0</v>
      </c>
    </row>
    <row r="192" spans="1:24" x14ac:dyDescent="0.25">
      <c r="A192" s="3" t="s">
        <v>22</v>
      </c>
      <c r="B192" s="3" t="str">
        <f>H192&amp;"_ "&amp;I192&amp;"_ "&amp;J192&amp;"_ "&amp;N192&amp;"_ "&amp;O192&amp;"_R"&amp;R192</f>
        <v>Human_ RPTEC-TERT1_ DMEM_ 0hr_ 0uM_R2</v>
      </c>
      <c r="C192" s="3" t="s">
        <v>15</v>
      </c>
      <c r="D192" s="3" t="str">
        <f>C192&amp;"_"&amp;E192</f>
        <v>LEIDEN_TQ_RPTEC_CSP1_G3</v>
      </c>
      <c r="E192" s="3" t="s">
        <v>23</v>
      </c>
      <c r="F192" s="3" t="s">
        <v>668</v>
      </c>
      <c r="G192" s="3" t="s">
        <v>626</v>
      </c>
      <c r="H192" s="3" t="s">
        <v>627</v>
      </c>
      <c r="I192" s="3" t="s">
        <v>350</v>
      </c>
      <c r="J192" s="3" t="s">
        <v>21</v>
      </c>
      <c r="K192" s="3" t="s">
        <v>21</v>
      </c>
      <c r="L192" s="3" t="s">
        <v>21</v>
      </c>
      <c r="M192" s="3">
        <v>0</v>
      </c>
      <c r="N192" s="3" t="str">
        <f>M192&amp;"hr"</f>
        <v>0hr</v>
      </c>
      <c r="O192" s="3" t="str">
        <f>P192&amp;"uM"</f>
        <v>0uM</v>
      </c>
      <c r="P192" s="3">
        <v>0</v>
      </c>
      <c r="Q192" s="3">
        <v>0</v>
      </c>
      <c r="R192">
        <v>2</v>
      </c>
      <c r="S192" s="3" t="str">
        <f>I192&amp;"_ "&amp;J192&amp;"_ "&amp;N192&amp;"_ "&amp;O192</f>
        <v>RPTEC-TERT1_ DMEM_ 0hr_ 0uM</v>
      </c>
      <c r="T192" s="3" t="s">
        <v>364</v>
      </c>
      <c r="U192" s="3" t="s">
        <v>366</v>
      </c>
      <c r="V192" s="3">
        <v>4750036</v>
      </c>
      <c r="W192" s="3">
        <v>225.00288948889201</v>
      </c>
      <c r="X192" s="3">
        <v>0</v>
      </c>
    </row>
    <row r="193" spans="1:24" x14ac:dyDescent="0.25">
      <c r="A193" s="3" t="s">
        <v>24</v>
      </c>
      <c r="B193" s="3" t="str">
        <f>H193&amp;"_ "&amp;I193&amp;"_ "&amp;J193&amp;"_ "&amp;N193&amp;"_ "&amp;O193&amp;"_R"&amp;R193</f>
        <v>Human_ RPTEC-TERT1_ DMEM_ 0hr_ 0uM_R3</v>
      </c>
      <c r="C193" s="3" t="s">
        <v>15</v>
      </c>
      <c r="D193" s="3" t="str">
        <f>C193&amp;"_"&amp;E193</f>
        <v>LEIDEN_TQ_RPTEC_CSP1_G4</v>
      </c>
      <c r="E193" s="3" t="s">
        <v>25</v>
      </c>
      <c r="F193" s="3" t="s">
        <v>668</v>
      </c>
      <c r="G193" s="3" t="s">
        <v>626</v>
      </c>
      <c r="H193" s="3" t="s">
        <v>627</v>
      </c>
      <c r="I193" s="3" t="s">
        <v>350</v>
      </c>
      <c r="J193" s="3" t="s">
        <v>21</v>
      </c>
      <c r="K193" s="3" t="s">
        <v>21</v>
      </c>
      <c r="L193" s="3" t="s">
        <v>21</v>
      </c>
      <c r="M193" s="3">
        <v>0</v>
      </c>
      <c r="N193" s="3" t="str">
        <f>M193&amp;"hr"</f>
        <v>0hr</v>
      </c>
      <c r="O193" s="3" t="str">
        <f>P193&amp;"uM"</f>
        <v>0uM</v>
      </c>
      <c r="P193" s="3">
        <v>0</v>
      </c>
      <c r="Q193" s="3">
        <v>0</v>
      </c>
      <c r="R193">
        <v>3</v>
      </c>
      <c r="S193" s="3" t="str">
        <f>I193&amp;"_ "&amp;J193&amp;"_ "&amp;N193&amp;"_ "&amp;O193</f>
        <v>RPTEC-TERT1_ DMEM_ 0hr_ 0uM</v>
      </c>
      <c r="T193" s="3" t="s">
        <v>364</v>
      </c>
      <c r="U193" s="3" t="s">
        <v>367</v>
      </c>
      <c r="V193" s="3">
        <v>4641319</v>
      </c>
      <c r="W193" s="3">
        <v>219.853109753209</v>
      </c>
      <c r="X193" s="3">
        <v>0</v>
      </c>
    </row>
    <row r="194" spans="1:24" x14ac:dyDescent="0.25">
      <c r="A194" s="3" t="s">
        <v>26</v>
      </c>
      <c r="B194" s="3" t="str">
        <f>H194&amp;"_ "&amp;I194&amp;"_ "&amp;J194&amp;"_ "&amp;N194&amp;"_ "&amp;O194&amp;"_R"&amp;R194</f>
        <v>Human_ RPTEC-TERT1_ DMEM_ 0hr_ 0uM_R4</v>
      </c>
      <c r="C194" s="3" t="s">
        <v>15</v>
      </c>
      <c r="D194" s="3" t="str">
        <f>C194&amp;"_"&amp;E194</f>
        <v>LEIDEN_TQ_RPTEC_CSP1_H2</v>
      </c>
      <c r="E194" s="3" t="s">
        <v>27</v>
      </c>
      <c r="F194" s="3" t="s">
        <v>668</v>
      </c>
      <c r="G194" s="3" t="s">
        <v>626</v>
      </c>
      <c r="H194" s="3" t="s">
        <v>627</v>
      </c>
      <c r="I194" s="3" t="s">
        <v>350</v>
      </c>
      <c r="J194" s="3" t="s">
        <v>21</v>
      </c>
      <c r="K194" s="3" t="s">
        <v>21</v>
      </c>
      <c r="L194" s="3" t="s">
        <v>21</v>
      </c>
      <c r="M194" s="3">
        <v>0</v>
      </c>
      <c r="N194" s="3" t="str">
        <f>M194&amp;"hr"</f>
        <v>0hr</v>
      </c>
      <c r="O194" s="3" t="str">
        <f>P194&amp;"uM"</f>
        <v>0uM</v>
      </c>
      <c r="P194" s="3">
        <v>0</v>
      </c>
      <c r="Q194" s="3">
        <v>0</v>
      </c>
      <c r="R194">
        <v>4</v>
      </c>
      <c r="S194" s="3" t="str">
        <f>I194&amp;"_ "&amp;J194&amp;"_ "&amp;N194&amp;"_ "&amp;O194</f>
        <v>RPTEC-TERT1_ DMEM_ 0hr_ 0uM</v>
      </c>
      <c r="T194" s="3" t="s">
        <v>364</v>
      </c>
      <c r="U194" s="3" t="s">
        <v>368</v>
      </c>
      <c r="V194" s="3">
        <v>5404366</v>
      </c>
      <c r="W194" s="3">
        <v>255.997631566482</v>
      </c>
      <c r="X194" s="3">
        <v>0</v>
      </c>
    </row>
    <row r="195" spans="1:24" x14ac:dyDescent="0.25">
      <c r="A195" s="3" t="s">
        <v>28</v>
      </c>
      <c r="B195" s="3" t="str">
        <f>H195&amp;"_ "&amp;I195&amp;"_ "&amp;J195&amp;"_ "&amp;N195&amp;"_ "&amp;O195&amp;"_R"&amp;R195</f>
        <v>Human_ RPTEC-TERT1_ DMEM_ 0hr_ 0uM_R5</v>
      </c>
      <c r="C195" s="3" t="s">
        <v>15</v>
      </c>
      <c r="D195" s="3" t="str">
        <f>C195&amp;"_"&amp;E195</f>
        <v>LEIDEN_TQ_RPTEC_CSP1_H3</v>
      </c>
      <c r="E195" s="3" t="s">
        <v>29</v>
      </c>
      <c r="F195" s="3" t="s">
        <v>668</v>
      </c>
      <c r="G195" s="3" t="s">
        <v>626</v>
      </c>
      <c r="H195" s="3" t="s">
        <v>627</v>
      </c>
      <c r="I195" s="3" t="s">
        <v>350</v>
      </c>
      <c r="J195" s="3" t="s">
        <v>21</v>
      </c>
      <c r="K195" s="3" t="s">
        <v>21</v>
      </c>
      <c r="L195" s="3" t="s">
        <v>21</v>
      </c>
      <c r="M195" s="3">
        <v>0</v>
      </c>
      <c r="N195" s="3" t="str">
        <f>M195&amp;"hr"</f>
        <v>0hr</v>
      </c>
      <c r="O195" s="3" t="str">
        <f>P195&amp;"uM"</f>
        <v>0uM</v>
      </c>
      <c r="P195" s="3">
        <v>0</v>
      </c>
      <c r="Q195" s="3">
        <v>0</v>
      </c>
      <c r="R195">
        <v>5</v>
      </c>
      <c r="S195" s="3" t="str">
        <f>I195&amp;"_ "&amp;J195&amp;"_ "&amp;N195&amp;"_ "&amp;O195</f>
        <v>RPTEC-TERT1_ DMEM_ 0hr_ 0uM</v>
      </c>
      <c r="T195" s="3" t="s">
        <v>364</v>
      </c>
      <c r="U195" s="3" t="s">
        <v>369</v>
      </c>
      <c r="V195" s="3">
        <v>5191120</v>
      </c>
      <c r="W195" s="3">
        <v>245.89645208658999</v>
      </c>
      <c r="X195" s="3">
        <v>0</v>
      </c>
    </row>
    <row r="196" spans="1:24" x14ac:dyDescent="0.25">
      <c r="A196" s="3" t="s">
        <v>30</v>
      </c>
      <c r="B196" s="3" t="str">
        <f>H196&amp;"_ "&amp;I196&amp;"_ "&amp;J196&amp;"_ "&amp;N196&amp;"_ "&amp;O196&amp;"_R"&amp;R196</f>
        <v>Human_ RPTEC-TERT1_ DMEM_ 0hr_ 0uM_R6</v>
      </c>
      <c r="C196" s="3" t="s">
        <v>15</v>
      </c>
      <c r="D196" s="3" t="str">
        <f>C196&amp;"_"&amp;E196</f>
        <v>LEIDEN_TQ_RPTEC_CSP1_H4</v>
      </c>
      <c r="E196" s="3" t="s">
        <v>31</v>
      </c>
      <c r="F196" s="3" t="s">
        <v>668</v>
      </c>
      <c r="G196" s="3" t="s">
        <v>626</v>
      </c>
      <c r="H196" s="3" t="s">
        <v>627</v>
      </c>
      <c r="I196" s="3" t="s">
        <v>350</v>
      </c>
      <c r="J196" s="3" t="s">
        <v>21</v>
      </c>
      <c r="K196" s="3" t="s">
        <v>21</v>
      </c>
      <c r="L196" s="3" t="s">
        <v>21</v>
      </c>
      <c r="M196" s="3">
        <v>0</v>
      </c>
      <c r="N196" s="3" t="str">
        <f>M196&amp;"hr"</f>
        <v>0hr</v>
      </c>
      <c r="O196" s="3" t="str">
        <f>P196&amp;"uM"</f>
        <v>0uM</v>
      </c>
      <c r="P196" s="3">
        <v>0</v>
      </c>
      <c r="Q196" s="3">
        <v>0</v>
      </c>
      <c r="R196">
        <v>6</v>
      </c>
      <c r="S196" s="3" t="str">
        <f>I196&amp;"_ "&amp;J196&amp;"_ "&amp;N196&amp;"_ "&amp;O196</f>
        <v>RPTEC-TERT1_ DMEM_ 0hr_ 0uM</v>
      </c>
      <c r="T196" s="3" t="s">
        <v>364</v>
      </c>
      <c r="U196" s="3" t="s">
        <v>370</v>
      </c>
      <c r="V196" s="3">
        <v>4868083</v>
      </c>
      <c r="W196" s="3">
        <v>230.59461891904701</v>
      </c>
      <c r="X196" s="3">
        <v>0</v>
      </c>
    </row>
    <row r="197" spans="1:24" x14ac:dyDescent="0.25">
      <c r="A197" s="3" t="s">
        <v>50</v>
      </c>
      <c r="B197" s="3" t="str">
        <f>H197&amp;"_ "&amp;I197&amp;"_ "&amp;J197&amp;"_ "&amp;N197&amp;"_ "&amp;O197&amp;"_R"&amp;R197</f>
        <v>Human_ RPTEC-TERT1_ DMEM_ 4hr_ 0uM_R1</v>
      </c>
      <c r="C197" s="3" t="s">
        <v>15</v>
      </c>
      <c r="D197" s="3" t="str">
        <f>C197&amp;"_"&amp;E197</f>
        <v>LEIDEN_TQ_RPTEC_CSP1_A11</v>
      </c>
      <c r="E197" s="3" t="s">
        <v>51</v>
      </c>
      <c r="F197" s="3" t="s">
        <v>668</v>
      </c>
      <c r="G197" s="3" t="s">
        <v>626</v>
      </c>
      <c r="H197" s="3" t="s">
        <v>627</v>
      </c>
      <c r="I197" s="3" t="s">
        <v>350</v>
      </c>
      <c r="J197" s="3" t="s">
        <v>21</v>
      </c>
      <c r="K197" s="3" t="s">
        <v>21</v>
      </c>
      <c r="L197" s="3" t="s">
        <v>21</v>
      </c>
      <c r="M197" s="3">
        <v>4</v>
      </c>
      <c r="N197" s="3" t="str">
        <f>M197&amp;"hr"</f>
        <v>4hr</v>
      </c>
      <c r="O197" s="3" t="str">
        <f>P197&amp;"uM"</f>
        <v>0uM</v>
      </c>
      <c r="P197" s="3">
        <v>0</v>
      </c>
      <c r="Q197" s="3">
        <v>0</v>
      </c>
      <c r="R197">
        <v>1</v>
      </c>
      <c r="S197" s="3" t="str">
        <f>I197&amp;"_ "&amp;J197&amp;"_ "&amp;N197&amp;"_ "&amp;O197</f>
        <v>RPTEC-TERT1_ DMEM_ 4hr_ 0uM</v>
      </c>
      <c r="T197" s="3" t="s">
        <v>390</v>
      </c>
      <c r="U197" s="3" t="s">
        <v>391</v>
      </c>
      <c r="V197" s="3">
        <v>1771138</v>
      </c>
      <c r="W197" s="3">
        <v>83.896452086589903</v>
      </c>
      <c r="X197" s="3">
        <v>4</v>
      </c>
    </row>
    <row r="198" spans="1:24" x14ac:dyDescent="0.25">
      <c r="A198" s="3" t="s">
        <v>52</v>
      </c>
      <c r="B198" s="3" t="str">
        <f>H198&amp;"_ "&amp;I198&amp;"_ "&amp;J198&amp;"_ "&amp;N198&amp;"_ "&amp;O198&amp;"_R"&amp;R198</f>
        <v>Human_ RPTEC-TERT1_ DMEM_ 4hr_ 0uM_R2</v>
      </c>
      <c r="C198" s="3" t="s">
        <v>15</v>
      </c>
      <c r="D198" s="3" t="str">
        <f>C198&amp;"_"&amp;E198</f>
        <v>LEIDEN_TQ_RPTEC_CSP1_A12</v>
      </c>
      <c r="E198" s="3" t="s">
        <v>53</v>
      </c>
      <c r="F198" s="3" t="s">
        <v>668</v>
      </c>
      <c r="G198" s="3" t="s">
        <v>626</v>
      </c>
      <c r="H198" s="3" t="s">
        <v>627</v>
      </c>
      <c r="I198" s="3" t="s">
        <v>350</v>
      </c>
      <c r="J198" s="3" t="s">
        <v>21</v>
      </c>
      <c r="K198" s="3" t="s">
        <v>21</v>
      </c>
      <c r="L198" s="3" t="s">
        <v>21</v>
      </c>
      <c r="M198" s="3">
        <v>4</v>
      </c>
      <c r="N198" s="3" t="str">
        <f>M198&amp;"hr"</f>
        <v>4hr</v>
      </c>
      <c r="O198" s="3" t="str">
        <f>P198&amp;"uM"</f>
        <v>0uM</v>
      </c>
      <c r="P198" s="3">
        <v>0</v>
      </c>
      <c r="Q198" s="3">
        <v>0</v>
      </c>
      <c r="R198">
        <v>2</v>
      </c>
      <c r="S198" s="3" t="str">
        <f>I198&amp;"_ "&amp;J198&amp;"_ "&amp;N198&amp;"_ "&amp;O198</f>
        <v>RPTEC-TERT1_ DMEM_ 4hr_ 0uM</v>
      </c>
      <c r="T198" s="3" t="s">
        <v>390</v>
      </c>
      <c r="U198" s="3" t="s">
        <v>392</v>
      </c>
      <c r="V198" s="3">
        <v>5043269</v>
      </c>
      <c r="W198" s="3">
        <v>238.89294680498301</v>
      </c>
      <c r="X198" s="3">
        <v>4</v>
      </c>
    </row>
    <row r="199" spans="1:24" x14ac:dyDescent="0.25">
      <c r="A199" s="3" t="s">
        <v>72</v>
      </c>
      <c r="B199" s="3" t="str">
        <f>H199&amp;"_ "&amp;I199&amp;"_ "&amp;J199&amp;"_ "&amp;N199&amp;"_ "&amp;O199&amp;"_R"&amp;R199</f>
        <v>Human_ RPTEC-TERT1_ DMEM_ 4hr_ 0uM_R3</v>
      </c>
      <c r="C199" s="3" t="s">
        <v>15</v>
      </c>
      <c r="D199" s="3" t="str">
        <f>C199&amp;"_"&amp;E199</f>
        <v>LEIDEN_TQ_RPTEC_CSP1_B11</v>
      </c>
      <c r="E199" s="3" t="s">
        <v>73</v>
      </c>
      <c r="F199" s="3" t="s">
        <v>668</v>
      </c>
      <c r="G199" s="3" t="s">
        <v>626</v>
      </c>
      <c r="H199" s="3" t="s">
        <v>627</v>
      </c>
      <c r="I199" s="3" t="s">
        <v>350</v>
      </c>
      <c r="J199" s="3" t="s">
        <v>21</v>
      </c>
      <c r="K199" s="3" t="s">
        <v>21</v>
      </c>
      <c r="L199" s="3" t="s">
        <v>21</v>
      </c>
      <c r="M199" s="3">
        <v>4</v>
      </c>
      <c r="N199" s="3" t="str">
        <f>M199&amp;"hr"</f>
        <v>4hr</v>
      </c>
      <c r="O199" s="3" t="str">
        <f>P199&amp;"uM"</f>
        <v>0uM</v>
      </c>
      <c r="P199" s="3">
        <v>0</v>
      </c>
      <c r="Q199" s="3">
        <v>0</v>
      </c>
      <c r="R199">
        <v>3</v>
      </c>
      <c r="S199" s="3" t="str">
        <f>I199&amp;"_ "&amp;J199&amp;"_ "&amp;N199&amp;"_ "&amp;O199</f>
        <v>RPTEC-TERT1_ DMEM_ 4hr_ 0uM</v>
      </c>
      <c r="T199" s="3" t="s">
        <v>390</v>
      </c>
      <c r="U199" s="3" t="s">
        <v>402</v>
      </c>
      <c r="V199" s="3">
        <v>6283409</v>
      </c>
      <c r="W199" s="3">
        <v>297.63672966699801</v>
      </c>
      <c r="X199" s="3">
        <v>4</v>
      </c>
    </row>
    <row r="200" spans="1:24" x14ac:dyDescent="0.25">
      <c r="A200" s="3" t="s">
        <v>74</v>
      </c>
      <c r="B200" s="3" t="str">
        <f>H200&amp;"_ "&amp;I200&amp;"_ "&amp;J200&amp;"_ "&amp;N200&amp;"_ "&amp;O200&amp;"_R"&amp;R200</f>
        <v>Human_ RPTEC-TERT1_ DMEM_ 4hr_ 0uM_R4</v>
      </c>
      <c r="C200" s="3" t="s">
        <v>15</v>
      </c>
      <c r="D200" s="3" t="str">
        <f>C200&amp;"_"&amp;E200</f>
        <v>LEIDEN_TQ_RPTEC_CSP1_B12</v>
      </c>
      <c r="E200" s="3" t="s">
        <v>75</v>
      </c>
      <c r="F200" s="3" t="s">
        <v>668</v>
      </c>
      <c r="G200" s="3" t="s">
        <v>626</v>
      </c>
      <c r="H200" s="3" t="s">
        <v>627</v>
      </c>
      <c r="I200" s="3" t="s">
        <v>350</v>
      </c>
      <c r="J200" s="3" t="s">
        <v>21</v>
      </c>
      <c r="K200" s="3" t="s">
        <v>21</v>
      </c>
      <c r="L200" s="3" t="s">
        <v>21</v>
      </c>
      <c r="M200" s="3">
        <v>4</v>
      </c>
      <c r="N200" s="3" t="str">
        <f>M200&amp;"hr"</f>
        <v>4hr</v>
      </c>
      <c r="O200" s="3" t="str">
        <f>P200&amp;"uM"</f>
        <v>0uM</v>
      </c>
      <c r="P200" s="3">
        <v>0</v>
      </c>
      <c r="Q200" s="3">
        <v>0</v>
      </c>
      <c r="R200">
        <v>4</v>
      </c>
      <c r="S200" s="3" t="str">
        <f>I200&amp;"_ "&amp;J200&amp;"_ "&amp;N200&amp;"_ "&amp;O200</f>
        <v>RPTEC-TERT1_ DMEM_ 4hr_ 0uM</v>
      </c>
      <c r="T200" s="3" t="s">
        <v>390</v>
      </c>
      <c r="U200" s="3" t="s">
        <v>403</v>
      </c>
      <c r="V200" s="3">
        <v>2904819</v>
      </c>
      <c r="W200" s="3">
        <v>137.597413670598</v>
      </c>
      <c r="X200" s="3">
        <v>4</v>
      </c>
    </row>
    <row r="201" spans="1:24" x14ac:dyDescent="0.25">
      <c r="A201" s="3" t="s">
        <v>94</v>
      </c>
      <c r="B201" s="3" t="str">
        <f>H201&amp;"_ "&amp;I201&amp;"_ "&amp;J201&amp;"_ "&amp;N201&amp;"_ "&amp;O201&amp;"_R"&amp;R201</f>
        <v>Human_ RPTEC-TERT1_ DMEM_ 4hr_ 0uM_R5</v>
      </c>
      <c r="C201" s="3" t="s">
        <v>15</v>
      </c>
      <c r="D201" s="3" t="str">
        <f>C201&amp;"_"&amp;E201</f>
        <v>LEIDEN_TQ_RPTEC_CSP1_C11</v>
      </c>
      <c r="E201" s="3" t="s">
        <v>95</v>
      </c>
      <c r="F201" s="3" t="s">
        <v>668</v>
      </c>
      <c r="G201" s="3" t="s">
        <v>626</v>
      </c>
      <c r="H201" s="3" t="s">
        <v>627</v>
      </c>
      <c r="I201" s="3" t="s">
        <v>350</v>
      </c>
      <c r="J201" s="3" t="s">
        <v>21</v>
      </c>
      <c r="K201" s="3" t="s">
        <v>21</v>
      </c>
      <c r="L201" s="3" t="s">
        <v>21</v>
      </c>
      <c r="M201" s="3">
        <v>4</v>
      </c>
      <c r="N201" s="3" t="str">
        <f>M201&amp;"hr"</f>
        <v>4hr</v>
      </c>
      <c r="O201" s="3" t="str">
        <f>P201&amp;"uM"</f>
        <v>0uM</v>
      </c>
      <c r="P201" s="3">
        <v>0</v>
      </c>
      <c r="Q201" s="3">
        <v>0</v>
      </c>
      <c r="R201">
        <v>5</v>
      </c>
      <c r="S201" s="3" t="str">
        <f>I201&amp;"_ "&amp;J201&amp;"_ "&amp;N201&amp;"_ "&amp;O201</f>
        <v>RPTEC-TERT1_ DMEM_ 4hr_ 0uM</v>
      </c>
      <c r="T201" s="3" t="s">
        <v>390</v>
      </c>
      <c r="U201" s="3" t="s">
        <v>412</v>
      </c>
      <c r="V201" s="3">
        <v>3382284</v>
      </c>
      <c r="W201" s="3">
        <v>160.21429586471501</v>
      </c>
      <c r="X201" s="3">
        <v>4</v>
      </c>
    </row>
    <row r="202" spans="1:24" x14ac:dyDescent="0.25">
      <c r="A202" s="3" t="s">
        <v>96</v>
      </c>
      <c r="B202" s="3" t="str">
        <f>H202&amp;"_ "&amp;I202&amp;"_ "&amp;J202&amp;"_ "&amp;N202&amp;"_ "&amp;O202&amp;"_R"&amp;R202</f>
        <v>Human_ RPTEC-TERT1_ DMEM_ 4hr_ 0uM_R6</v>
      </c>
      <c r="C202" s="3" t="s">
        <v>15</v>
      </c>
      <c r="D202" s="3" t="str">
        <f>C202&amp;"_"&amp;E202</f>
        <v>LEIDEN_TQ_RPTEC_CSP1_C12</v>
      </c>
      <c r="E202" s="3" t="s">
        <v>97</v>
      </c>
      <c r="F202" s="3" t="s">
        <v>668</v>
      </c>
      <c r="G202" s="3" t="s">
        <v>626</v>
      </c>
      <c r="H202" s="3" t="s">
        <v>627</v>
      </c>
      <c r="I202" s="3" t="s">
        <v>350</v>
      </c>
      <c r="J202" s="3" t="s">
        <v>21</v>
      </c>
      <c r="K202" s="3" t="s">
        <v>21</v>
      </c>
      <c r="L202" s="3" t="s">
        <v>21</v>
      </c>
      <c r="M202" s="3">
        <v>4</v>
      </c>
      <c r="N202" s="3" t="str">
        <f>M202&amp;"hr"</f>
        <v>4hr</v>
      </c>
      <c r="O202" s="3" t="str">
        <f>P202&amp;"uM"</f>
        <v>0uM</v>
      </c>
      <c r="P202" s="3">
        <v>0</v>
      </c>
      <c r="Q202" s="3">
        <v>0</v>
      </c>
      <c r="R202">
        <v>6</v>
      </c>
      <c r="S202" s="3" t="str">
        <f>I202&amp;"_ "&amp;J202&amp;"_ "&amp;N202&amp;"_ "&amp;O202</f>
        <v>RPTEC-TERT1_ DMEM_ 4hr_ 0uM</v>
      </c>
      <c r="T202" s="3" t="s">
        <v>390</v>
      </c>
      <c r="U202" s="3" t="s">
        <v>413</v>
      </c>
      <c r="V202" s="3">
        <v>5277225</v>
      </c>
      <c r="W202" s="3">
        <v>249.97513144806001</v>
      </c>
      <c r="X202" s="3">
        <v>4</v>
      </c>
    </row>
    <row r="203" spans="1:24" x14ac:dyDescent="0.25">
      <c r="A203" s="3" t="s">
        <v>117</v>
      </c>
      <c r="B203" s="3" t="str">
        <f>H203&amp;"_ "&amp;I203&amp;"_ "&amp;J203&amp;"_ "&amp;N203&amp;"_ "&amp;O203&amp;"_R"&amp;R203</f>
        <v>Human_ RPTEC-TERT1_ DMEM_ 8hr_ 0uM_R1</v>
      </c>
      <c r="C203" s="3" t="s">
        <v>99</v>
      </c>
      <c r="D203" s="3" t="str">
        <f>C203&amp;"_"&amp;E203</f>
        <v>LEIDEN_TQ_RPTEC_CSP2_D11</v>
      </c>
      <c r="E203" s="3" t="s">
        <v>118</v>
      </c>
      <c r="F203" s="3" t="s">
        <v>669</v>
      </c>
      <c r="G203" s="3" t="s">
        <v>626</v>
      </c>
      <c r="H203" s="3" t="s">
        <v>627</v>
      </c>
      <c r="I203" s="3" t="s">
        <v>350</v>
      </c>
      <c r="J203" s="3" t="s">
        <v>21</v>
      </c>
      <c r="K203" s="3" t="s">
        <v>21</v>
      </c>
      <c r="L203" s="3" t="s">
        <v>21</v>
      </c>
      <c r="M203" s="3">
        <v>8</v>
      </c>
      <c r="N203" s="3" t="str">
        <f>M203&amp;"hr"</f>
        <v>8hr</v>
      </c>
      <c r="O203" s="3" t="str">
        <f>P203&amp;"uM"</f>
        <v>0uM</v>
      </c>
      <c r="P203" s="3">
        <v>0</v>
      </c>
      <c r="Q203" s="3">
        <v>0</v>
      </c>
      <c r="R203">
        <v>1</v>
      </c>
      <c r="S203" s="3" t="str">
        <f>I203&amp;"_ "&amp;J203&amp;"_ "&amp;N203&amp;"_ "&amp;O203</f>
        <v>RPTEC-TERT1_ DMEM_ 8hr_ 0uM</v>
      </c>
      <c r="T203" s="3" t="s">
        <v>432</v>
      </c>
      <c r="U203" s="3" t="s">
        <v>433</v>
      </c>
      <c r="V203" s="3">
        <v>5608151</v>
      </c>
      <c r="W203" s="3">
        <v>265.65065605608498</v>
      </c>
      <c r="X203" s="3">
        <v>8</v>
      </c>
    </row>
    <row r="204" spans="1:24" x14ac:dyDescent="0.25">
      <c r="A204" s="3" t="s">
        <v>119</v>
      </c>
      <c r="B204" s="3" t="str">
        <f>H204&amp;"_ "&amp;I204&amp;"_ "&amp;J204&amp;"_ "&amp;N204&amp;"_ "&amp;O204&amp;"_R"&amp;R204</f>
        <v>Human_ RPTEC-TERT1_ DMEM_ 8hr_ 0uM_R2</v>
      </c>
      <c r="C204" s="3" t="s">
        <v>99</v>
      </c>
      <c r="D204" s="3" t="str">
        <f>C204&amp;"_"&amp;E204</f>
        <v>LEIDEN_TQ_RPTEC_CSP2_D12</v>
      </c>
      <c r="E204" s="3" t="s">
        <v>120</v>
      </c>
      <c r="F204" s="3" t="s">
        <v>669</v>
      </c>
      <c r="G204" s="3" t="s">
        <v>626</v>
      </c>
      <c r="H204" s="3" t="s">
        <v>627</v>
      </c>
      <c r="I204" s="3" t="s">
        <v>350</v>
      </c>
      <c r="J204" s="3" t="s">
        <v>21</v>
      </c>
      <c r="K204" s="3" t="s">
        <v>21</v>
      </c>
      <c r="L204" s="3" t="s">
        <v>21</v>
      </c>
      <c r="M204" s="3">
        <v>8</v>
      </c>
      <c r="N204" s="3" t="str">
        <f>M204&amp;"hr"</f>
        <v>8hr</v>
      </c>
      <c r="O204" s="3" t="str">
        <f>P204&amp;"uM"</f>
        <v>0uM</v>
      </c>
      <c r="P204" s="3">
        <v>0</v>
      </c>
      <c r="Q204" s="3">
        <v>0</v>
      </c>
      <c r="R204">
        <v>2</v>
      </c>
      <c r="S204" s="3" t="str">
        <f>I204&amp;"_ "&amp;J204&amp;"_ "&amp;N204&amp;"_ "&amp;O204</f>
        <v>RPTEC-TERT1_ DMEM_ 8hr_ 0uM</v>
      </c>
      <c r="T204" s="3" t="s">
        <v>432</v>
      </c>
      <c r="U204" s="3" t="s">
        <v>434</v>
      </c>
      <c r="V204" s="3">
        <v>5619752</v>
      </c>
      <c r="W204" s="3">
        <v>266.200180000947</v>
      </c>
      <c r="X204" s="3">
        <v>8</v>
      </c>
    </row>
    <row r="205" spans="1:24" x14ac:dyDescent="0.25">
      <c r="A205" s="3" t="s">
        <v>139</v>
      </c>
      <c r="B205" s="3" t="str">
        <f>H205&amp;"_ "&amp;I205&amp;"_ "&amp;J205&amp;"_ "&amp;N205&amp;"_ "&amp;O205&amp;"_R"&amp;R205</f>
        <v>Human_ RPTEC-TERT1_ DMEM_ 8hr_ 0uM_R3</v>
      </c>
      <c r="C205" s="3" t="s">
        <v>99</v>
      </c>
      <c r="D205" s="3" t="str">
        <f>C205&amp;"_"&amp;E205</f>
        <v>LEIDEN_TQ_RPTEC_CSP2_E11</v>
      </c>
      <c r="E205" s="3" t="s">
        <v>140</v>
      </c>
      <c r="F205" s="3" t="s">
        <v>669</v>
      </c>
      <c r="G205" s="3" t="s">
        <v>626</v>
      </c>
      <c r="H205" s="3" t="s">
        <v>627</v>
      </c>
      <c r="I205" s="3" t="s">
        <v>350</v>
      </c>
      <c r="J205" s="3" t="s">
        <v>21</v>
      </c>
      <c r="K205" s="3" t="s">
        <v>21</v>
      </c>
      <c r="L205" s="3" t="s">
        <v>21</v>
      </c>
      <c r="M205" s="3">
        <v>8</v>
      </c>
      <c r="N205" s="3" t="str">
        <f>M205&amp;"hr"</f>
        <v>8hr</v>
      </c>
      <c r="O205" s="3" t="str">
        <f>P205&amp;"uM"</f>
        <v>0uM</v>
      </c>
      <c r="P205" s="3">
        <v>0</v>
      </c>
      <c r="Q205" s="3">
        <v>0</v>
      </c>
      <c r="R205">
        <v>3</v>
      </c>
      <c r="S205" s="3" t="str">
        <f>I205&amp;"_ "&amp;J205&amp;"_ "&amp;N205&amp;"_ "&amp;O205</f>
        <v>RPTEC-TERT1_ DMEM_ 8hr_ 0uM</v>
      </c>
      <c r="T205" s="3" t="s">
        <v>432</v>
      </c>
      <c r="U205" s="3" t="s">
        <v>444</v>
      </c>
      <c r="V205" s="3">
        <v>5278935</v>
      </c>
      <c r="W205" s="3">
        <v>250.056131874378</v>
      </c>
      <c r="X205" s="3">
        <v>8</v>
      </c>
    </row>
    <row r="206" spans="1:24" x14ac:dyDescent="0.25">
      <c r="A206" s="3" t="s">
        <v>141</v>
      </c>
      <c r="B206" s="3" t="str">
        <f>H206&amp;"_ "&amp;I206&amp;"_ "&amp;J206&amp;"_ "&amp;N206&amp;"_ "&amp;O206&amp;"_R"&amp;R206</f>
        <v>Human_ RPTEC-TERT1_ DMEM_ 8hr_ 0uM_R4</v>
      </c>
      <c r="C206" s="3" t="s">
        <v>99</v>
      </c>
      <c r="D206" s="3" t="str">
        <f>C206&amp;"_"&amp;E206</f>
        <v>LEIDEN_TQ_RPTEC_CSP2_E12</v>
      </c>
      <c r="E206" s="3" t="s">
        <v>142</v>
      </c>
      <c r="F206" s="3" t="s">
        <v>669</v>
      </c>
      <c r="G206" s="3" t="s">
        <v>626</v>
      </c>
      <c r="H206" s="3" t="s">
        <v>627</v>
      </c>
      <c r="I206" s="3" t="s">
        <v>350</v>
      </c>
      <c r="J206" s="3" t="s">
        <v>21</v>
      </c>
      <c r="K206" s="3" t="s">
        <v>21</v>
      </c>
      <c r="L206" s="3" t="s">
        <v>21</v>
      </c>
      <c r="M206" s="3">
        <v>8</v>
      </c>
      <c r="N206" s="3" t="str">
        <f>M206&amp;"hr"</f>
        <v>8hr</v>
      </c>
      <c r="O206" s="3" t="str">
        <f>P206&amp;"uM"</f>
        <v>0uM</v>
      </c>
      <c r="P206" s="3">
        <v>0</v>
      </c>
      <c r="Q206" s="3">
        <v>0</v>
      </c>
      <c r="R206">
        <v>4</v>
      </c>
      <c r="S206" s="3" t="str">
        <f>I206&amp;"_ "&amp;J206&amp;"_ "&amp;N206&amp;"_ "&amp;O206</f>
        <v>RPTEC-TERT1_ DMEM_ 8hr_ 0uM</v>
      </c>
      <c r="T206" s="3" t="s">
        <v>432</v>
      </c>
      <c r="U206" s="3" t="s">
        <v>445</v>
      </c>
      <c r="V206" s="3">
        <v>5553954</v>
      </c>
      <c r="W206" s="3">
        <v>263.083416228506</v>
      </c>
      <c r="X206" s="3">
        <v>8</v>
      </c>
    </row>
    <row r="207" spans="1:24" x14ac:dyDescent="0.25">
      <c r="A207" s="3" t="s">
        <v>161</v>
      </c>
      <c r="B207" s="3" t="str">
        <f>H207&amp;"_ "&amp;I207&amp;"_ "&amp;J207&amp;"_ "&amp;N207&amp;"_ "&amp;O207&amp;"_R"&amp;R207</f>
        <v>Human_ RPTEC-TERT1_ DMEM_ 8hr_ 0uM_R5</v>
      </c>
      <c r="C207" s="3" t="s">
        <v>99</v>
      </c>
      <c r="D207" s="3" t="str">
        <f>C207&amp;"_"&amp;E207</f>
        <v>LEIDEN_TQ_RPTEC_CSP2_F11</v>
      </c>
      <c r="E207" s="3" t="s">
        <v>162</v>
      </c>
      <c r="F207" s="3" t="s">
        <v>669</v>
      </c>
      <c r="G207" s="3" t="s">
        <v>626</v>
      </c>
      <c r="H207" s="3" t="s">
        <v>627</v>
      </c>
      <c r="I207" s="3" t="s">
        <v>350</v>
      </c>
      <c r="J207" s="3" t="s">
        <v>21</v>
      </c>
      <c r="K207" s="3" t="s">
        <v>21</v>
      </c>
      <c r="L207" s="3" t="s">
        <v>21</v>
      </c>
      <c r="M207" s="3">
        <v>8</v>
      </c>
      <c r="N207" s="3" t="str">
        <f>M207&amp;"hr"</f>
        <v>8hr</v>
      </c>
      <c r="O207" s="3" t="str">
        <f>P207&amp;"uM"</f>
        <v>0uM</v>
      </c>
      <c r="P207" s="3">
        <v>0</v>
      </c>
      <c r="Q207" s="3">
        <v>0</v>
      </c>
      <c r="R207">
        <v>5</v>
      </c>
      <c r="S207" s="3" t="str">
        <f>I207&amp;"_ "&amp;J207&amp;"_ "&amp;N207&amp;"_ "&amp;O207</f>
        <v>RPTEC-TERT1_ DMEM_ 8hr_ 0uM</v>
      </c>
      <c r="T207" s="3" t="s">
        <v>432</v>
      </c>
      <c r="U207" s="3" t="s">
        <v>454</v>
      </c>
      <c r="V207" s="3">
        <v>5252506</v>
      </c>
      <c r="W207" s="3">
        <v>248.804225285396</v>
      </c>
      <c r="X207" s="3">
        <v>8</v>
      </c>
    </row>
    <row r="208" spans="1:24" x14ac:dyDescent="0.25">
      <c r="A208" s="3" t="s">
        <v>163</v>
      </c>
      <c r="B208" s="3" t="str">
        <f>H208&amp;"_ "&amp;I208&amp;"_ "&amp;J208&amp;"_ "&amp;N208&amp;"_ "&amp;O208&amp;"_R"&amp;R208</f>
        <v>Human_ RPTEC-TERT1_ DMEM_ 8hr_ 0uM_R6</v>
      </c>
      <c r="C208" s="3" t="s">
        <v>99</v>
      </c>
      <c r="D208" s="3" t="str">
        <f>C208&amp;"_"&amp;E208</f>
        <v>LEIDEN_TQ_RPTEC_CSP2_F12</v>
      </c>
      <c r="E208" s="3" t="s">
        <v>164</v>
      </c>
      <c r="F208" s="3" t="s">
        <v>669</v>
      </c>
      <c r="G208" s="3" t="s">
        <v>626</v>
      </c>
      <c r="H208" s="3" t="s">
        <v>627</v>
      </c>
      <c r="I208" s="3" t="s">
        <v>350</v>
      </c>
      <c r="J208" s="3" t="s">
        <v>21</v>
      </c>
      <c r="K208" s="3" t="s">
        <v>21</v>
      </c>
      <c r="L208" s="3" t="s">
        <v>21</v>
      </c>
      <c r="M208" s="3">
        <v>8</v>
      </c>
      <c r="N208" s="3" t="str">
        <f>M208&amp;"hr"</f>
        <v>8hr</v>
      </c>
      <c r="O208" s="3" t="str">
        <f>P208&amp;"uM"</f>
        <v>0uM</v>
      </c>
      <c r="P208" s="3">
        <v>0</v>
      </c>
      <c r="Q208" s="3">
        <v>0</v>
      </c>
      <c r="R208">
        <v>6</v>
      </c>
      <c r="S208" s="3" t="str">
        <f>I208&amp;"_ "&amp;J208&amp;"_ "&amp;N208&amp;"_ "&amp;O208</f>
        <v>RPTEC-TERT1_ DMEM_ 8hr_ 0uM</v>
      </c>
      <c r="T208" s="3" t="s">
        <v>432</v>
      </c>
      <c r="U208" s="3" t="s">
        <v>455</v>
      </c>
      <c r="V208" s="3">
        <v>2962350</v>
      </c>
      <c r="W208" s="3">
        <v>140.322580645161</v>
      </c>
      <c r="X208" s="3">
        <v>8</v>
      </c>
    </row>
    <row r="209" spans="1:24" x14ac:dyDescent="0.25">
      <c r="A209" s="3" t="s">
        <v>174</v>
      </c>
      <c r="B209" s="3" t="str">
        <f>H209&amp;"_ "&amp;I209&amp;"_ "&amp;J209&amp;"_ "&amp;N209&amp;"_ "&amp;O209&amp;"_R"&amp;R209</f>
        <v>Human_ RPTEC-TERT1_ DMEM_ 16hr_ 0uM_R1</v>
      </c>
      <c r="C209" s="3" t="s">
        <v>99</v>
      </c>
      <c r="D209" s="3" t="str">
        <f>C209&amp;"_"&amp;E209</f>
        <v>LEIDEN_TQ_RPTEC_CSP2_A11</v>
      </c>
      <c r="E209" s="3" t="s">
        <v>51</v>
      </c>
      <c r="F209" s="3" t="s">
        <v>669</v>
      </c>
      <c r="G209" s="3" t="s">
        <v>626</v>
      </c>
      <c r="H209" s="3" t="s">
        <v>627</v>
      </c>
      <c r="I209" s="3" t="s">
        <v>350</v>
      </c>
      <c r="J209" s="3" t="s">
        <v>21</v>
      </c>
      <c r="K209" s="3" t="s">
        <v>21</v>
      </c>
      <c r="L209" s="3" t="s">
        <v>21</v>
      </c>
      <c r="M209" s="3">
        <v>16</v>
      </c>
      <c r="N209" s="3" t="str">
        <f>M209&amp;"hr"</f>
        <v>16hr</v>
      </c>
      <c r="O209" s="3" t="str">
        <f>P209&amp;"uM"</f>
        <v>0uM</v>
      </c>
      <c r="P209" s="3">
        <v>0</v>
      </c>
      <c r="Q209" s="3">
        <v>0</v>
      </c>
      <c r="R209">
        <v>1</v>
      </c>
      <c r="S209" s="3" t="str">
        <f>I209&amp;"_ "&amp;J209&amp;"_ "&amp;N209&amp;"_ "&amp;O209</f>
        <v>RPTEC-TERT1_ DMEM_ 16hr_ 0uM</v>
      </c>
      <c r="T209" s="3" t="s">
        <v>474</v>
      </c>
      <c r="U209" s="3" t="s">
        <v>475</v>
      </c>
      <c r="V209" s="3">
        <v>5135467</v>
      </c>
      <c r="W209" s="3">
        <v>243.26024347496599</v>
      </c>
      <c r="X209" s="3">
        <v>16</v>
      </c>
    </row>
    <row r="210" spans="1:24" x14ac:dyDescent="0.25">
      <c r="A210" s="3" t="s">
        <v>175</v>
      </c>
      <c r="B210" s="3" t="str">
        <f>H210&amp;"_ "&amp;I210&amp;"_ "&amp;J210&amp;"_ "&amp;N210&amp;"_ "&amp;O210&amp;"_R"&amp;R210</f>
        <v>Human_ RPTEC-TERT1_ DMEM_ 16hr_ 0uM_R2</v>
      </c>
      <c r="C210" s="3" t="s">
        <v>99</v>
      </c>
      <c r="D210" s="3" t="str">
        <f>C210&amp;"_"&amp;E210</f>
        <v>LEIDEN_TQ_RPTEC_CSP2_A12</v>
      </c>
      <c r="E210" s="3" t="s">
        <v>53</v>
      </c>
      <c r="F210" s="3" t="s">
        <v>669</v>
      </c>
      <c r="G210" s="3" t="s">
        <v>626</v>
      </c>
      <c r="H210" s="3" t="s">
        <v>627</v>
      </c>
      <c r="I210" s="3" t="s">
        <v>350</v>
      </c>
      <c r="J210" s="3" t="s">
        <v>21</v>
      </c>
      <c r="K210" s="3" t="s">
        <v>21</v>
      </c>
      <c r="L210" s="3" t="s">
        <v>21</v>
      </c>
      <c r="M210" s="3">
        <v>16</v>
      </c>
      <c r="N210" s="3" t="str">
        <f>M210&amp;"hr"</f>
        <v>16hr</v>
      </c>
      <c r="O210" s="3" t="str">
        <f>P210&amp;"uM"</f>
        <v>0uM</v>
      </c>
      <c r="P210" s="3">
        <v>0</v>
      </c>
      <c r="Q210" s="3">
        <v>0</v>
      </c>
      <c r="R210">
        <v>2</v>
      </c>
      <c r="S210" s="3" t="str">
        <f>I210&amp;"_ "&amp;J210&amp;"_ "&amp;N210&amp;"_ "&amp;O210</f>
        <v>RPTEC-TERT1_ DMEM_ 16hr_ 0uM</v>
      </c>
      <c r="T210" s="3" t="s">
        <v>474</v>
      </c>
      <c r="U210" s="3" t="s">
        <v>476</v>
      </c>
      <c r="V210" s="3">
        <v>5877522</v>
      </c>
      <c r="W210" s="3">
        <v>278.41040216001102</v>
      </c>
      <c r="X210" s="3">
        <v>16</v>
      </c>
    </row>
    <row r="211" spans="1:24" x14ac:dyDescent="0.25">
      <c r="A211" s="3" t="s">
        <v>185</v>
      </c>
      <c r="B211" s="3" t="str">
        <f>H211&amp;"_ "&amp;I211&amp;"_ "&amp;J211&amp;"_ "&amp;N211&amp;"_ "&amp;O211&amp;"_R"&amp;R211</f>
        <v>Human_ RPTEC-TERT1_ DMEM_ 16hr_ 0uM_R3</v>
      </c>
      <c r="C211" s="3" t="s">
        <v>99</v>
      </c>
      <c r="D211" s="3" t="str">
        <f>C211&amp;"_"&amp;E211</f>
        <v>LEIDEN_TQ_RPTEC_CSP2_B11</v>
      </c>
      <c r="E211" s="3" t="s">
        <v>73</v>
      </c>
      <c r="F211" s="3" t="s">
        <v>669</v>
      </c>
      <c r="G211" s="3" t="s">
        <v>626</v>
      </c>
      <c r="H211" s="3" t="s">
        <v>627</v>
      </c>
      <c r="I211" s="3" t="s">
        <v>350</v>
      </c>
      <c r="J211" s="3" t="s">
        <v>21</v>
      </c>
      <c r="K211" s="3" t="s">
        <v>21</v>
      </c>
      <c r="L211" s="3" t="s">
        <v>21</v>
      </c>
      <c r="M211" s="3">
        <v>16</v>
      </c>
      <c r="N211" s="3" t="str">
        <f>M211&amp;"hr"</f>
        <v>16hr</v>
      </c>
      <c r="O211" s="3" t="str">
        <f>P211&amp;"uM"</f>
        <v>0uM</v>
      </c>
      <c r="P211" s="3">
        <v>0</v>
      </c>
      <c r="Q211" s="3">
        <v>0</v>
      </c>
      <c r="R211">
        <v>3</v>
      </c>
      <c r="S211" s="3" t="str">
        <f>I211&amp;"_ "&amp;J211&amp;"_ "&amp;N211&amp;"_ "&amp;O211</f>
        <v>RPTEC-TERT1_ DMEM_ 16hr_ 0uM</v>
      </c>
      <c r="T211" s="3" t="s">
        <v>474</v>
      </c>
      <c r="U211" s="3" t="s">
        <v>486</v>
      </c>
      <c r="V211" s="3">
        <v>5239448</v>
      </c>
      <c r="W211" s="3">
        <v>248.185685187817</v>
      </c>
      <c r="X211" s="3">
        <v>16</v>
      </c>
    </row>
    <row r="212" spans="1:24" x14ac:dyDescent="0.25">
      <c r="A212" s="3" t="s">
        <v>186</v>
      </c>
      <c r="B212" s="3" t="str">
        <f>H212&amp;"_ "&amp;I212&amp;"_ "&amp;J212&amp;"_ "&amp;N212&amp;"_ "&amp;O212&amp;"_R"&amp;R212</f>
        <v>Human_ RPTEC-TERT1_ DMEM_ 16hr_ 0uM_R4</v>
      </c>
      <c r="C212" s="3" t="s">
        <v>99</v>
      </c>
      <c r="D212" s="3" t="str">
        <f>C212&amp;"_"&amp;E212</f>
        <v>LEIDEN_TQ_RPTEC_CSP2_B12</v>
      </c>
      <c r="E212" s="3" t="s">
        <v>75</v>
      </c>
      <c r="F212" s="3" t="s">
        <v>669</v>
      </c>
      <c r="G212" s="3" t="s">
        <v>626</v>
      </c>
      <c r="H212" s="3" t="s">
        <v>627</v>
      </c>
      <c r="I212" s="3" t="s">
        <v>350</v>
      </c>
      <c r="J212" s="3" t="s">
        <v>21</v>
      </c>
      <c r="K212" s="3" t="s">
        <v>21</v>
      </c>
      <c r="L212" s="3" t="s">
        <v>21</v>
      </c>
      <c r="M212" s="3">
        <v>16</v>
      </c>
      <c r="N212" s="3" t="str">
        <f>M212&amp;"hr"</f>
        <v>16hr</v>
      </c>
      <c r="O212" s="3" t="str">
        <f>P212&amp;"uM"</f>
        <v>0uM</v>
      </c>
      <c r="P212" s="3">
        <v>0</v>
      </c>
      <c r="Q212" s="3">
        <v>0</v>
      </c>
      <c r="R212">
        <v>4</v>
      </c>
      <c r="S212" s="3" t="str">
        <f>I212&amp;"_ "&amp;J212&amp;"_ "&amp;N212&amp;"_ "&amp;O212</f>
        <v>RPTEC-TERT1_ DMEM_ 16hr_ 0uM</v>
      </c>
      <c r="T212" s="3" t="s">
        <v>474</v>
      </c>
      <c r="U212" s="3" t="s">
        <v>487</v>
      </c>
      <c r="V212" s="3">
        <v>4865529</v>
      </c>
      <c r="W212" s="3">
        <v>230.47363933494401</v>
      </c>
      <c r="X212" s="3">
        <v>16</v>
      </c>
    </row>
    <row r="213" spans="1:24" x14ac:dyDescent="0.25">
      <c r="A213" s="3" t="s">
        <v>196</v>
      </c>
      <c r="B213" s="3" t="str">
        <f>H213&amp;"_ "&amp;I213&amp;"_ "&amp;J213&amp;"_ "&amp;N213&amp;"_ "&amp;O213&amp;"_R"&amp;R213</f>
        <v>Human_ RPTEC-TERT1_ DMEM_ 16hr_ 0uM_R5</v>
      </c>
      <c r="C213" s="3" t="s">
        <v>99</v>
      </c>
      <c r="D213" s="3" t="str">
        <f>C213&amp;"_"&amp;E213</f>
        <v>LEIDEN_TQ_RPTEC_CSP2_C11</v>
      </c>
      <c r="E213" s="3" t="s">
        <v>95</v>
      </c>
      <c r="F213" s="3" t="s">
        <v>669</v>
      </c>
      <c r="G213" s="3" t="s">
        <v>626</v>
      </c>
      <c r="H213" s="3" t="s">
        <v>627</v>
      </c>
      <c r="I213" s="3" t="s">
        <v>350</v>
      </c>
      <c r="J213" s="3" t="s">
        <v>21</v>
      </c>
      <c r="K213" s="3" t="s">
        <v>21</v>
      </c>
      <c r="L213" s="3" t="s">
        <v>21</v>
      </c>
      <c r="M213" s="3">
        <v>16</v>
      </c>
      <c r="N213" s="3" t="str">
        <f>M213&amp;"hr"</f>
        <v>16hr</v>
      </c>
      <c r="O213" s="3" t="str">
        <f>P213&amp;"uM"</f>
        <v>0uM</v>
      </c>
      <c r="P213" s="3">
        <v>0</v>
      </c>
      <c r="Q213" s="3">
        <v>0</v>
      </c>
      <c r="R213">
        <v>5</v>
      </c>
      <c r="S213" s="3" t="str">
        <f>I213&amp;"_ "&amp;J213&amp;"_ "&amp;N213&amp;"_ "&amp;O213</f>
        <v>RPTEC-TERT1_ DMEM_ 16hr_ 0uM</v>
      </c>
      <c r="T213" s="3" t="s">
        <v>474</v>
      </c>
      <c r="U213" s="3" t="s">
        <v>496</v>
      </c>
      <c r="V213" s="3">
        <v>3183683</v>
      </c>
      <c r="W213" s="3">
        <v>150.80683056226599</v>
      </c>
      <c r="X213" s="3">
        <v>16</v>
      </c>
    </row>
    <row r="214" spans="1:24" x14ac:dyDescent="0.25">
      <c r="A214" s="3" t="s">
        <v>197</v>
      </c>
      <c r="B214" s="3" t="str">
        <f>H214&amp;"_ "&amp;I214&amp;"_ "&amp;J214&amp;"_ "&amp;N214&amp;"_ "&amp;O214&amp;"_R"&amp;R214</f>
        <v>Human_ RPTEC-TERT1_ DMEM_ 16hr_ 0uM_R6</v>
      </c>
      <c r="C214" s="3" t="s">
        <v>99</v>
      </c>
      <c r="D214" s="3" t="str">
        <f>C214&amp;"_"&amp;E214</f>
        <v>LEIDEN_TQ_RPTEC_CSP2_C12</v>
      </c>
      <c r="E214" s="3" t="s">
        <v>97</v>
      </c>
      <c r="F214" s="3" t="s">
        <v>669</v>
      </c>
      <c r="G214" s="3" t="s">
        <v>626</v>
      </c>
      <c r="H214" s="3" t="s">
        <v>627</v>
      </c>
      <c r="I214" s="3" t="s">
        <v>350</v>
      </c>
      <c r="J214" s="3" t="s">
        <v>21</v>
      </c>
      <c r="K214" s="3" t="s">
        <v>21</v>
      </c>
      <c r="L214" s="3" t="s">
        <v>21</v>
      </c>
      <c r="M214" s="3">
        <v>16</v>
      </c>
      <c r="N214" s="3" t="str">
        <f>M214&amp;"hr"</f>
        <v>16hr</v>
      </c>
      <c r="O214" s="3" t="str">
        <f>P214&amp;"uM"</f>
        <v>0uM</v>
      </c>
      <c r="P214" s="3">
        <v>0</v>
      </c>
      <c r="Q214" s="3">
        <v>0</v>
      </c>
      <c r="R214">
        <v>6</v>
      </c>
      <c r="S214" s="3" t="str">
        <f>I214&amp;"_ "&amp;J214&amp;"_ "&amp;N214&amp;"_ "&amp;O214</f>
        <v>RPTEC-TERT1_ DMEM_ 16hr_ 0uM</v>
      </c>
      <c r="T214" s="3" t="s">
        <v>474</v>
      </c>
      <c r="U214" s="3" t="s">
        <v>497</v>
      </c>
      <c r="V214" s="3">
        <v>4296779</v>
      </c>
      <c r="W214" s="3">
        <v>203.53270806688499</v>
      </c>
      <c r="X214" s="3">
        <v>16</v>
      </c>
    </row>
    <row r="215" spans="1:24" x14ac:dyDescent="0.25">
      <c r="A215" s="3" t="s">
        <v>207</v>
      </c>
      <c r="B215" s="3" t="str">
        <f>H215&amp;"_ "&amp;I215&amp;"_ "&amp;J215&amp;"_ "&amp;N215&amp;"_ "&amp;O215&amp;"_R"&amp;R215</f>
        <v>Human_ RPTEC-TERT1_ DMEM_ 24hr_ 0uM_R1</v>
      </c>
      <c r="C215" s="3" t="s">
        <v>99</v>
      </c>
      <c r="D215" s="3" t="str">
        <f>C215&amp;"_"&amp;E215</f>
        <v>LEIDEN_TQ_RPTEC_CSP2_D11</v>
      </c>
      <c r="E215" s="3" t="s">
        <v>118</v>
      </c>
      <c r="F215" s="3" t="s">
        <v>669</v>
      </c>
      <c r="G215" s="3" t="s">
        <v>626</v>
      </c>
      <c r="H215" s="3" t="s">
        <v>627</v>
      </c>
      <c r="I215" s="3" t="s">
        <v>350</v>
      </c>
      <c r="J215" s="3" t="s">
        <v>21</v>
      </c>
      <c r="K215" s="3" t="s">
        <v>21</v>
      </c>
      <c r="L215" s="3" t="s">
        <v>21</v>
      </c>
      <c r="M215" s="3">
        <v>24</v>
      </c>
      <c r="N215" s="3" t="str">
        <f>M215&amp;"hr"</f>
        <v>24hr</v>
      </c>
      <c r="O215" s="3" t="str">
        <f>P215&amp;"uM"</f>
        <v>0uM</v>
      </c>
      <c r="P215" s="3">
        <v>0</v>
      </c>
      <c r="Q215" s="3">
        <v>0</v>
      </c>
      <c r="R215">
        <v>1</v>
      </c>
      <c r="S215" s="3" t="str">
        <f>I215&amp;"_ "&amp;J215&amp;"_ "&amp;N215&amp;"_ "&amp;O215</f>
        <v>RPTEC-TERT1_ DMEM_ 24hr_ 0uM</v>
      </c>
      <c r="T215" s="3" t="s">
        <v>516</v>
      </c>
      <c r="U215" s="3" t="s">
        <v>517</v>
      </c>
      <c r="V215" s="3">
        <v>5188510</v>
      </c>
      <c r="W215" s="3">
        <v>245.772819856947</v>
      </c>
      <c r="X215" s="3">
        <v>24</v>
      </c>
    </row>
    <row r="216" spans="1:24" x14ac:dyDescent="0.25">
      <c r="A216" s="3" t="s">
        <v>208</v>
      </c>
      <c r="B216" s="3" t="str">
        <f>H216&amp;"_ "&amp;I216&amp;"_ "&amp;J216&amp;"_ "&amp;N216&amp;"_ "&amp;O216&amp;"_R"&amp;R216</f>
        <v>Human_ RPTEC-TERT1_ DMEM_ 24hr_ 0uM_R2</v>
      </c>
      <c r="C216" s="3" t="s">
        <v>99</v>
      </c>
      <c r="D216" s="3" t="str">
        <f>C216&amp;"_"&amp;E216</f>
        <v>LEIDEN_TQ_RPTEC_CSP2_D12</v>
      </c>
      <c r="E216" s="3" t="s">
        <v>120</v>
      </c>
      <c r="F216" s="3" t="s">
        <v>669</v>
      </c>
      <c r="G216" s="3" t="s">
        <v>626</v>
      </c>
      <c r="H216" s="3" t="s">
        <v>627</v>
      </c>
      <c r="I216" s="3" t="s">
        <v>350</v>
      </c>
      <c r="J216" s="3" t="s">
        <v>21</v>
      </c>
      <c r="K216" s="3" t="s">
        <v>21</v>
      </c>
      <c r="L216" s="3" t="s">
        <v>21</v>
      </c>
      <c r="M216" s="3">
        <v>24</v>
      </c>
      <c r="N216" s="3" t="str">
        <f>M216&amp;"hr"</f>
        <v>24hr</v>
      </c>
      <c r="O216" s="3" t="str">
        <f>P216&amp;"uM"</f>
        <v>0uM</v>
      </c>
      <c r="P216" s="3">
        <v>0</v>
      </c>
      <c r="Q216" s="3">
        <v>0</v>
      </c>
      <c r="R216">
        <v>2</v>
      </c>
      <c r="S216" s="3" t="str">
        <f>I216&amp;"_ "&amp;J216&amp;"_ "&amp;N216&amp;"_ "&amp;O216</f>
        <v>RPTEC-TERT1_ DMEM_ 24hr_ 0uM</v>
      </c>
      <c r="T216" s="3" t="s">
        <v>516</v>
      </c>
      <c r="U216" s="3" t="s">
        <v>518</v>
      </c>
      <c r="V216" s="3">
        <v>3586657</v>
      </c>
      <c r="W216" s="3">
        <v>169.89517313248999</v>
      </c>
      <c r="X216" s="3">
        <v>24</v>
      </c>
    </row>
    <row r="217" spans="1:24" x14ac:dyDescent="0.25">
      <c r="A217" s="3" t="s">
        <v>218</v>
      </c>
      <c r="B217" s="3" t="str">
        <f>H217&amp;"_ "&amp;I217&amp;"_ "&amp;J217&amp;"_ "&amp;N217&amp;"_ "&amp;O217&amp;"_R"&amp;R217</f>
        <v>Human_ RPTEC-TERT1_ DMEM_ 24hr_ 0uM_R3</v>
      </c>
      <c r="C217" s="3" t="s">
        <v>99</v>
      </c>
      <c r="D217" s="3" t="str">
        <f>C217&amp;"_"&amp;E217</f>
        <v>LEIDEN_TQ_RPTEC_CSP2_E11</v>
      </c>
      <c r="E217" s="3" t="s">
        <v>140</v>
      </c>
      <c r="F217" s="3" t="s">
        <v>669</v>
      </c>
      <c r="G217" s="3" t="s">
        <v>626</v>
      </c>
      <c r="H217" s="3" t="s">
        <v>627</v>
      </c>
      <c r="I217" s="3" t="s">
        <v>350</v>
      </c>
      <c r="J217" s="3" t="s">
        <v>21</v>
      </c>
      <c r="K217" s="3" t="s">
        <v>21</v>
      </c>
      <c r="L217" s="3" t="s">
        <v>21</v>
      </c>
      <c r="M217" s="3">
        <v>24</v>
      </c>
      <c r="N217" s="3" t="str">
        <f>M217&amp;"hr"</f>
        <v>24hr</v>
      </c>
      <c r="O217" s="3" t="str">
        <f>P217&amp;"uM"</f>
        <v>0uM</v>
      </c>
      <c r="P217" s="3">
        <v>0</v>
      </c>
      <c r="Q217" s="3">
        <v>0</v>
      </c>
      <c r="R217">
        <v>3</v>
      </c>
      <c r="S217" s="3" t="str">
        <f>I217&amp;"_ "&amp;J217&amp;"_ "&amp;N217&amp;"_ "&amp;O217</f>
        <v>RPTEC-TERT1_ DMEM_ 24hr_ 0uM</v>
      </c>
      <c r="T217" s="3" t="s">
        <v>516</v>
      </c>
      <c r="U217" s="3" t="s">
        <v>528</v>
      </c>
      <c r="V217" s="3">
        <v>6157417</v>
      </c>
      <c r="W217" s="3">
        <v>291.66865615082202</v>
      </c>
      <c r="X217" s="3">
        <v>24</v>
      </c>
    </row>
    <row r="218" spans="1:24" x14ac:dyDescent="0.25">
      <c r="A218" s="3" t="s">
        <v>219</v>
      </c>
      <c r="B218" s="3" t="str">
        <f>H218&amp;"_ "&amp;I218&amp;"_ "&amp;J218&amp;"_ "&amp;N218&amp;"_ "&amp;O218&amp;"_R"&amp;R218</f>
        <v>Human_ RPTEC-TERT1_ DMEM_ 24hr_ 0uM_R4</v>
      </c>
      <c r="C218" s="3" t="s">
        <v>99</v>
      </c>
      <c r="D218" s="3" t="str">
        <f>C218&amp;"_"&amp;E218</f>
        <v>LEIDEN_TQ_RPTEC_CSP2_E12</v>
      </c>
      <c r="E218" s="3" t="s">
        <v>142</v>
      </c>
      <c r="F218" s="3" t="s">
        <v>669</v>
      </c>
      <c r="G218" s="3" t="s">
        <v>626</v>
      </c>
      <c r="H218" s="3" t="s">
        <v>627</v>
      </c>
      <c r="I218" s="3" t="s">
        <v>350</v>
      </c>
      <c r="J218" s="3" t="s">
        <v>21</v>
      </c>
      <c r="K218" s="3" t="s">
        <v>21</v>
      </c>
      <c r="L218" s="3" t="s">
        <v>21</v>
      </c>
      <c r="M218" s="3">
        <v>24</v>
      </c>
      <c r="N218" s="3" t="str">
        <f>M218&amp;"hr"</f>
        <v>24hr</v>
      </c>
      <c r="O218" s="3" t="str">
        <f>P218&amp;"uM"</f>
        <v>0uM</v>
      </c>
      <c r="P218" s="3">
        <v>0</v>
      </c>
      <c r="Q218" s="3">
        <v>0</v>
      </c>
      <c r="R218">
        <v>4</v>
      </c>
      <c r="S218" s="3" t="str">
        <f>I218&amp;"_ "&amp;J218&amp;"_ "&amp;N218&amp;"_ "&amp;O218</f>
        <v>RPTEC-TERT1_ DMEM_ 24hr_ 0uM</v>
      </c>
      <c r="T218" s="3" t="s">
        <v>516</v>
      </c>
      <c r="U218" s="3" t="s">
        <v>529</v>
      </c>
      <c r="V218" s="3">
        <v>4249130</v>
      </c>
      <c r="W218" s="3">
        <v>201.27563829283301</v>
      </c>
      <c r="X218" s="3">
        <v>24</v>
      </c>
    </row>
    <row r="219" spans="1:24" x14ac:dyDescent="0.25">
      <c r="A219" s="3" t="s">
        <v>229</v>
      </c>
      <c r="B219" s="3" t="str">
        <f>H219&amp;"_ "&amp;I219&amp;"_ "&amp;J219&amp;"_ "&amp;N219&amp;"_ "&amp;O219&amp;"_R"&amp;R219</f>
        <v>Human_ RPTEC-TERT1_ DMEM_ 24hr_ 0uM_R5</v>
      </c>
      <c r="C219" s="3" t="s">
        <v>99</v>
      </c>
      <c r="D219" s="3" t="str">
        <f>C219&amp;"_"&amp;E219</f>
        <v>LEIDEN_TQ_RPTEC_CSP2_F11</v>
      </c>
      <c r="E219" s="3" t="s">
        <v>162</v>
      </c>
      <c r="F219" s="3" t="s">
        <v>669</v>
      </c>
      <c r="G219" s="3" t="s">
        <v>626</v>
      </c>
      <c r="H219" s="3" t="s">
        <v>627</v>
      </c>
      <c r="I219" s="3" t="s">
        <v>350</v>
      </c>
      <c r="J219" s="3" t="s">
        <v>21</v>
      </c>
      <c r="K219" s="3" t="s">
        <v>21</v>
      </c>
      <c r="L219" s="3" t="s">
        <v>21</v>
      </c>
      <c r="M219" s="3">
        <v>24</v>
      </c>
      <c r="N219" s="3" t="str">
        <f>M219&amp;"hr"</f>
        <v>24hr</v>
      </c>
      <c r="O219" s="3" t="str">
        <f>P219&amp;"uM"</f>
        <v>0uM</v>
      </c>
      <c r="P219" s="3">
        <v>0</v>
      </c>
      <c r="Q219" s="3">
        <v>0</v>
      </c>
      <c r="R219">
        <v>5</v>
      </c>
      <c r="S219" s="3" t="str">
        <f>I219&amp;"_ "&amp;J219&amp;"_ "&amp;N219&amp;"_ "&amp;O219</f>
        <v>RPTEC-TERT1_ DMEM_ 24hr_ 0uM</v>
      </c>
      <c r="T219" s="3" t="s">
        <v>516</v>
      </c>
      <c r="U219" s="3" t="s">
        <v>538</v>
      </c>
      <c r="V219" s="3">
        <v>3440814</v>
      </c>
      <c r="W219" s="3">
        <v>162.98678414096901</v>
      </c>
      <c r="X219" s="3">
        <v>24</v>
      </c>
    </row>
    <row r="220" spans="1:24" x14ac:dyDescent="0.25">
      <c r="A220" s="3" t="s">
        <v>230</v>
      </c>
      <c r="B220" s="3" t="str">
        <f>H220&amp;"_ "&amp;I220&amp;"_ "&amp;J220&amp;"_ "&amp;N220&amp;"_ "&amp;O220&amp;"_R"&amp;R220</f>
        <v>Human_ RPTEC-TERT1_ DMEM_ 24hr_ 0uM_R6</v>
      </c>
      <c r="C220" s="3" t="s">
        <v>99</v>
      </c>
      <c r="D220" s="3" t="str">
        <f>C220&amp;"_"&amp;E220</f>
        <v>LEIDEN_TQ_RPTEC_CSP2_F12</v>
      </c>
      <c r="E220" s="3" t="s">
        <v>164</v>
      </c>
      <c r="F220" s="3" t="s">
        <v>669</v>
      </c>
      <c r="G220" s="3" t="s">
        <v>626</v>
      </c>
      <c r="H220" s="3" t="s">
        <v>627</v>
      </c>
      <c r="I220" s="3" t="s">
        <v>350</v>
      </c>
      <c r="J220" s="3" t="s">
        <v>21</v>
      </c>
      <c r="K220" s="3" t="s">
        <v>21</v>
      </c>
      <c r="L220" s="3" t="s">
        <v>21</v>
      </c>
      <c r="M220" s="3">
        <v>24</v>
      </c>
      <c r="N220" s="3" t="str">
        <f>M220&amp;"hr"</f>
        <v>24hr</v>
      </c>
      <c r="O220" s="3" t="str">
        <f>P220&amp;"uM"</f>
        <v>0uM</v>
      </c>
      <c r="P220" s="3">
        <v>0</v>
      </c>
      <c r="Q220" s="3">
        <v>0</v>
      </c>
      <c r="R220">
        <v>6</v>
      </c>
      <c r="S220" s="3" t="str">
        <f>I220&amp;"_ "&amp;J220&amp;"_ "&amp;N220&amp;"_ "&amp;O220</f>
        <v>RPTEC-TERT1_ DMEM_ 24hr_ 0uM</v>
      </c>
      <c r="T220" s="3" t="s">
        <v>516</v>
      </c>
      <c r="U220" s="3" t="s">
        <v>539</v>
      </c>
      <c r="V220" s="3">
        <v>5405362</v>
      </c>
      <c r="W220" s="3">
        <v>256.044810762162</v>
      </c>
      <c r="X220" s="3">
        <v>24</v>
      </c>
    </row>
    <row r="221" spans="1:24" x14ac:dyDescent="0.25">
      <c r="A221" s="3" t="s">
        <v>249</v>
      </c>
      <c r="B221" s="3" t="str">
        <f>H221&amp;"_ "&amp;I221&amp;"_ "&amp;J221&amp;"_ "&amp;N221&amp;"_ "&amp;O221&amp;"_R"&amp;R221</f>
        <v>Human_ RPTEC-Jennings_ DMEM_ 24hr_ 0uM_R1</v>
      </c>
      <c r="C221" s="3" t="s">
        <v>99</v>
      </c>
      <c r="D221" s="3" t="str">
        <f>C221&amp;"_"&amp;E221</f>
        <v>LEIDEN_TQ_RPTEC_CSP2_G11</v>
      </c>
      <c r="E221" s="3" t="s">
        <v>250</v>
      </c>
      <c r="F221" s="3" t="s">
        <v>669</v>
      </c>
      <c r="G221" s="3" t="s">
        <v>626</v>
      </c>
      <c r="H221" s="3" t="s">
        <v>627</v>
      </c>
      <c r="I221" s="3" t="s">
        <v>628</v>
      </c>
      <c r="J221" s="3" t="s">
        <v>21</v>
      </c>
      <c r="K221" s="3" t="s">
        <v>21</v>
      </c>
      <c r="L221" s="3" t="s">
        <v>21</v>
      </c>
      <c r="M221" s="3">
        <v>24</v>
      </c>
      <c r="N221" s="3" t="str">
        <f>M221&amp;"hr"</f>
        <v>24hr</v>
      </c>
      <c r="O221" s="3" t="str">
        <f>P221&amp;"uM"</f>
        <v>0uM</v>
      </c>
      <c r="P221" s="3">
        <v>0</v>
      </c>
      <c r="Q221" s="3">
        <v>0</v>
      </c>
      <c r="R221">
        <v>1</v>
      </c>
      <c r="S221" s="3" t="str">
        <f>I221&amp;"_ "&amp;J221&amp;"_ "&amp;N221&amp;"_ "&amp;O221</f>
        <v>RPTEC-Jennings_ DMEM_ 24hr_ 0uM</v>
      </c>
      <c r="T221" s="3" t="s">
        <v>647</v>
      </c>
      <c r="U221" s="3" t="s">
        <v>648</v>
      </c>
      <c r="V221" s="3">
        <v>5139578</v>
      </c>
      <c r="W221" s="3">
        <v>243.45497607882101</v>
      </c>
      <c r="X221" s="3">
        <v>24</v>
      </c>
    </row>
    <row r="222" spans="1:24" x14ac:dyDescent="0.25">
      <c r="A222" s="3" t="s">
        <v>269</v>
      </c>
      <c r="B222" s="3" t="str">
        <f>H222&amp;"_ "&amp;I222&amp;"_ "&amp;J222&amp;"_ "&amp;N222&amp;"_ "&amp;O222&amp;"_R"&amp;R222</f>
        <v>Human_ RPTEC-Jennings_ DMEM_ 24hr_ 0uM_R2</v>
      </c>
      <c r="C222" s="3" t="s">
        <v>99</v>
      </c>
      <c r="D222" s="3" t="str">
        <f>C222&amp;"_"&amp;E222</f>
        <v>LEIDEN_TQ_RPTEC_CSP2_H11</v>
      </c>
      <c r="E222" s="3" t="s">
        <v>270</v>
      </c>
      <c r="F222" s="3" t="s">
        <v>669</v>
      </c>
      <c r="G222" s="3" t="s">
        <v>626</v>
      </c>
      <c r="H222" s="3" t="s">
        <v>627</v>
      </c>
      <c r="I222" s="3" t="s">
        <v>628</v>
      </c>
      <c r="J222" s="3" t="s">
        <v>21</v>
      </c>
      <c r="K222" s="3" t="s">
        <v>21</v>
      </c>
      <c r="L222" s="3" t="s">
        <v>21</v>
      </c>
      <c r="M222" s="3">
        <v>24</v>
      </c>
      <c r="N222" s="3" t="str">
        <f>M222&amp;"hr"</f>
        <v>24hr</v>
      </c>
      <c r="O222" s="3" t="str">
        <f>P222&amp;"uM"</f>
        <v>0uM</v>
      </c>
      <c r="P222" s="3">
        <v>0</v>
      </c>
      <c r="Q222" s="3">
        <v>0</v>
      </c>
      <c r="R222">
        <v>2</v>
      </c>
      <c r="S222" s="3" t="str">
        <f>I222&amp;"_ "&amp;J222&amp;"_ "&amp;N222&amp;"_ "&amp;O222</f>
        <v>RPTEC-Jennings_ DMEM_ 24hr_ 0uM</v>
      </c>
      <c r="T222" s="3" t="s">
        <v>647</v>
      </c>
      <c r="U222" s="3" t="s">
        <v>658</v>
      </c>
      <c r="V222" s="3">
        <v>4024875</v>
      </c>
      <c r="W222" s="3">
        <v>190.65297712093201</v>
      </c>
      <c r="X222" s="3">
        <v>24</v>
      </c>
    </row>
    <row r="223" spans="1:24" x14ac:dyDescent="0.25">
      <c r="A223" s="3" t="s">
        <v>347</v>
      </c>
      <c r="B223" s="3" t="str">
        <f>H223&amp;"_ "&amp;I223&amp;"_ "&amp;J223&amp;"_ "&amp;N223&amp;"_ "&amp;O223&amp;"_R"&amp;R223</f>
        <v>Human_ RPTEC-Jennings_ DMEM_ 24hr_ 0uM_R3</v>
      </c>
      <c r="C223" s="3" t="s">
        <v>272</v>
      </c>
      <c r="D223" s="3" t="str">
        <f>C223&amp;"_"&amp;E223</f>
        <v>LEIDEN_TQ_RPTEC_CSP3_G11</v>
      </c>
      <c r="E223" s="3" t="s">
        <v>250</v>
      </c>
      <c r="F223" s="3" t="s">
        <v>670</v>
      </c>
      <c r="G223" s="3" t="s">
        <v>626</v>
      </c>
      <c r="H223" s="3" t="s">
        <v>627</v>
      </c>
      <c r="I223" s="3" t="s">
        <v>628</v>
      </c>
      <c r="J223" s="3" t="s">
        <v>21</v>
      </c>
      <c r="K223" s="3" t="s">
        <v>21</v>
      </c>
      <c r="L223" s="3" t="s">
        <v>21</v>
      </c>
      <c r="M223" s="3">
        <v>24</v>
      </c>
      <c r="N223" s="3" t="str">
        <f>M223&amp;"hr"</f>
        <v>24hr</v>
      </c>
      <c r="O223" s="3" t="str">
        <f>P223&amp;"uM"</f>
        <v>0uM</v>
      </c>
      <c r="P223" s="3">
        <v>0</v>
      </c>
      <c r="Q223" s="3">
        <v>0</v>
      </c>
      <c r="R223">
        <v>3</v>
      </c>
      <c r="S223" s="3" t="str">
        <f>I223&amp;"_ "&amp;J223&amp;"_ "&amp;N223&amp;"_ "&amp;O223</f>
        <v>RPTEC-Jennings_ DMEM_ 24hr_ 0uM</v>
      </c>
      <c r="T223" s="3" t="s">
        <v>647</v>
      </c>
      <c r="U223" s="3" t="s">
        <v>667</v>
      </c>
      <c r="V223" s="3">
        <v>3271956</v>
      </c>
      <c r="W223" s="3">
        <v>154.98820520108001</v>
      </c>
      <c r="X223" s="3">
        <v>24</v>
      </c>
    </row>
    <row r="224" spans="1:24" x14ac:dyDescent="0.25">
      <c r="A224" s="3" t="s">
        <v>281</v>
      </c>
      <c r="B224" s="3" t="str">
        <f>H224&amp;"_ "&amp;I224&amp;"_ "&amp;J224&amp;"_ "&amp;N224&amp;"_ "&amp;O224&amp;"_R"&amp;R224</f>
        <v>Human_ RPTEC-TERT1_ DMEM_ 48hr_ 0uM_R1</v>
      </c>
      <c r="C224" s="3" t="s">
        <v>272</v>
      </c>
      <c r="D224" s="3" t="str">
        <f>C224&amp;"_"&amp;E224</f>
        <v>LEIDEN_TQ_RPTEC_CSP3_A11</v>
      </c>
      <c r="E224" s="3" t="s">
        <v>51</v>
      </c>
      <c r="F224" s="3" t="s">
        <v>670</v>
      </c>
      <c r="G224" s="3" t="s">
        <v>626</v>
      </c>
      <c r="H224" s="3" t="s">
        <v>627</v>
      </c>
      <c r="I224" s="3" t="s">
        <v>350</v>
      </c>
      <c r="J224" s="3" t="s">
        <v>21</v>
      </c>
      <c r="K224" s="3" t="s">
        <v>21</v>
      </c>
      <c r="L224" s="3" t="s">
        <v>21</v>
      </c>
      <c r="M224" s="3">
        <v>48</v>
      </c>
      <c r="N224" s="3" t="str">
        <f>M224&amp;"hr"</f>
        <v>48hr</v>
      </c>
      <c r="O224" s="3" t="str">
        <f>P224&amp;"uM"</f>
        <v>0uM</v>
      </c>
      <c r="P224" s="3">
        <v>0</v>
      </c>
      <c r="Q224" s="3">
        <v>0</v>
      </c>
      <c r="R224">
        <v>1</v>
      </c>
      <c r="S224" s="3" t="str">
        <f>I224&amp;"_ "&amp;J224&amp;"_ "&amp;N224&amp;"_ "&amp;O224</f>
        <v>RPTEC-TERT1_ DMEM_ 48hr_ 0uM</v>
      </c>
      <c r="T224" s="3" t="s">
        <v>558</v>
      </c>
      <c r="U224" s="3" t="s">
        <v>559</v>
      </c>
      <c r="V224" s="3">
        <v>5073772</v>
      </c>
      <c r="W224" s="3">
        <v>240.33783335701801</v>
      </c>
      <c r="X224" s="3">
        <v>48</v>
      </c>
    </row>
    <row r="225" spans="1:24" x14ac:dyDescent="0.25">
      <c r="A225" s="3" t="s">
        <v>282</v>
      </c>
      <c r="B225" s="3" t="str">
        <f>H225&amp;"_ "&amp;I225&amp;"_ "&amp;J225&amp;"_ "&amp;N225&amp;"_ "&amp;O225&amp;"_R"&amp;R225</f>
        <v>Human_ RPTEC-TERT1_ DMEM_ 48hr_ 0uM_R2</v>
      </c>
      <c r="C225" s="3" t="s">
        <v>272</v>
      </c>
      <c r="D225" s="3" t="str">
        <f>C225&amp;"_"&amp;E225</f>
        <v>LEIDEN_TQ_RPTEC_CSP3_A12</v>
      </c>
      <c r="E225" s="3" t="s">
        <v>53</v>
      </c>
      <c r="F225" s="3" t="s">
        <v>670</v>
      </c>
      <c r="G225" s="3" t="s">
        <v>626</v>
      </c>
      <c r="H225" s="3" t="s">
        <v>627</v>
      </c>
      <c r="I225" s="3" t="s">
        <v>350</v>
      </c>
      <c r="J225" s="3" t="s">
        <v>21</v>
      </c>
      <c r="K225" s="3" t="s">
        <v>21</v>
      </c>
      <c r="L225" s="3" t="s">
        <v>21</v>
      </c>
      <c r="M225" s="3">
        <v>48</v>
      </c>
      <c r="N225" s="3" t="str">
        <f>M225&amp;"hr"</f>
        <v>48hr</v>
      </c>
      <c r="O225" s="3" t="str">
        <f>P225&amp;"uM"</f>
        <v>0uM</v>
      </c>
      <c r="P225" s="3">
        <v>0</v>
      </c>
      <c r="Q225" s="3">
        <v>0</v>
      </c>
      <c r="R225">
        <v>2</v>
      </c>
      <c r="S225" s="3" t="str">
        <f>I225&amp;"_ "&amp;J225&amp;"_ "&amp;N225&amp;"_ "&amp;O225</f>
        <v>RPTEC-TERT1_ DMEM_ 48hr_ 0uM</v>
      </c>
      <c r="T225" s="3" t="s">
        <v>558</v>
      </c>
      <c r="U225" s="3" t="s">
        <v>560</v>
      </c>
      <c r="V225" s="3">
        <v>5984898</v>
      </c>
      <c r="W225" s="3">
        <v>283.49666050873998</v>
      </c>
      <c r="X225" s="3">
        <v>48</v>
      </c>
    </row>
    <row r="226" spans="1:24" x14ac:dyDescent="0.25">
      <c r="A226" s="3" t="s">
        <v>292</v>
      </c>
      <c r="B226" s="3" t="str">
        <f>H226&amp;"_ "&amp;I226&amp;"_ "&amp;J226&amp;"_ "&amp;N226&amp;"_ "&amp;O226&amp;"_R"&amp;R226</f>
        <v>Human_ RPTEC-TERT1_ DMEM_ 48hr_ 0uM_R3</v>
      </c>
      <c r="C226" s="3" t="s">
        <v>272</v>
      </c>
      <c r="D226" s="3" t="str">
        <f>C226&amp;"_"&amp;E226</f>
        <v>LEIDEN_TQ_RPTEC_CSP3_B11</v>
      </c>
      <c r="E226" s="3" t="s">
        <v>73</v>
      </c>
      <c r="F226" s="3" t="s">
        <v>670</v>
      </c>
      <c r="G226" s="3" t="s">
        <v>626</v>
      </c>
      <c r="H226" s="3" t="s">
        <v>627</v>
      </c>
      <c r="I226" s="3" t="s">
        <v>350</v>
      </c>
      <c r="J226" s="3" t="s">
        <v>21</v>
      </c>
      <c r="K226" s="3" t="s">
        <v>21</v>
      </c>
      <c r="L226" s="3" t="s">
        <v>21</v>
      </c>
      <c r="M226" s="3">
        <v>48</v>
      </c>
      <c r="N226" s="3" t="str">
        <f>M226&amp;"hr"</f>
        <v>48hr</v>
      </c>
      <c r="O226" s="3" t="str">
        <f>P226&amp;"uM"</f>
        <v>0uM</v>
      </c>
      <c r="P226" s="3">
        <v>0</v>
      </c>
      <c r="Q226" s="3">
        <v>0</v>
      </c>
      <c r="R226">
        <v>3</v>
      </c>
      <c r="S226" s="3" t="str">
        <f>I226&amp;"_ "&amp;J226&amp;"_ "&amp;N226&amp;"_ "&amp;O226</f>
        <v>RPTEC-TERT1_ DMEM_ 48hr_ 0uM</v>
      </c>
      <c r="T226" s="3" t="s">
        <v>558</v>
      </c>
      <c r="U226" s="3" t="s">
        <v>570</v>
      </c>
      <c r="V226" s="3">
        <v>3559254</v>
      </c>
      <c r="W226" s="3">
        <v>168.59712945857601</v>
      </c>
      <c r="X226" s="3">
        <v>48</v>
      </c>
    </row>
    <row r="227" spans="1:24" x14ac:dyDescent="0.25">
      <c r="A227" s="3" t="s">
        <v>293</v>
      </c>
      <c r="B227" s="3" t="str">
        <f>H227&amp;"_ "&amp;I227&amp;"_ "&amp;J227&amp;"_ "&amp;N227&amp;"_ "&amp;O227&amp;"_R"&amp;R227</f>
        <v>Human_ RPTEC-TERT1_ DMEM_ 48hr_ 0uM_R4</v>
      </c>
      <c r="C227" s="3" t="s">
        <v>272</v>
      </c>
      <c r="D227" s="3" t="str">
        <f>C227&amp;"_"&amp;E227</f>
        <v>LEIDEN_TQ_RPTEC_CSP3_B12</v>
      </c>
      <c r="E227" s="3" t="s">
        <v>75</v>
      </c>
      <c r="F227" s="3" t="s">
        <v>670</v>
      </c>
      <c r="G227" s="3" t="s">
        <v>626</v>
      </c>
      <c r="H227" s="3" t="s">
        <v>627</v>
      </c>
      <c r="I227" s="3" t="s">
        <v>350</v>
      </c>
      <c r="J227" s="3" t="s">
        <v>21</v>
      </c>
      <c r="K227" s="3" t="s">
        <v>21</v>
      </c>
      <c r="L227" s="3" t="s">
        <v>21</v>
      </c>
      <c r="M227" s="3">
        <v>48</v>
      </c>
      <c r="N227" s="3" t="str">
        <f>M227&amp;"hr"</f>
        <v>48hr</v>
      </c>
      <c r="O227" s="3" t="str">
        <f>P227&amp;"uM"</f>
        <v>0uM</v>
      </c>
      <c r="P227" s="3">
        <v>0</v>
      </c>
      <c r="Q227" s="3">
        <v>0</v>
      </c>
      <c r="R227">
        <v>4</v>
      </c>
      <c r="S227" s="3" t="str">
        <f>I227&amp;"_ "&amp;J227&amp;"_ "&amp;N227&amp;"_ "&amp;O227</f>
        <v>RPTEC-TERT1_ DMEM_ 48hr_ 0uM</v>
      </c>
      <c r="T227" s="3" t="s">
        <v>558</v>
      </c>
      <c r="U227" s="3" t="s">
        <v>571</v>
      </c>
      <c r="V227" s="3">
        <v>3585773</v>
      </c>
      <c r="W227" s="3">
        <v>169.853299227891</v>
      </c>
      <c r="X227" s="3">
        <v>48</v>
      </c>
    </row>
    <row r="228" spans="1:24" x14ac:dyDescent="0.25">
      <c r="A228" s="3" t="s">
        <v>303</v>
      </c>
      <c r="B228" s="3" t="str">
        <f>H228&amp;"_ "&amp;I228&amp;"_ "&amp;J228&amp;"_ "&amp;N228&amp;"_ "&amp;O228&amp;"_R"&amp;R228</f>
        <v>Human_ RPTEC-TERT1_ DMEM_ 48hr_ 0uM_R5</v>
      </c>
      <c r="C228" s="3" t="s">
        <v>272</v>
      </c>
      <c r="D228" s="3" t="str">
        <f>C228&amp;"_"&amp;E228</f>
        <v>LEIDEN_TQ_RPTEC_CSP3_C11</v>
      </c>
      <c r="E228" s="3" t="s">
        <v>95</v>
      </c>
      <c r="F228" s="3" t="s">
        <v>670</v>
      </c>
      <c r="G228" s="3" t="s">
        <v>626</v>
      </c>
      <c r="H228" s="3" t="s">
        <v>627</v>
      </c>
      <c r="I228" s="3" t="s">
        <v>350</v>
      </c>
      <c r="J228" s="3" t="s">
        <v>21</v>
      </c>
      <c r="K228" s="3" t="s">
        <v>21</v>
      </c>
      <c r="L228" s="3" t="s">
        <v>21</v>
      </c>
      <c r="M228" s="3">
        <v>48</v>
      </c>
      <c r="N228" s="3" t="str">
        <f>M228&amp;"hr"</f>
        <v>48hr</v>
      </c>
      <c r="O228" s="3" t="str">
        <f>P228&amp;"uM"</f>
        <v>0uM</v>
      </c>
      <c r="P228" s="3">
        <v>0</v>
      </c>
      <c r="Q228" s="3">
        <v>0</v>
      </c>
      <c r="R228">
        <v>5</v>
      </c>
      <c r="S228" s="3" t="str">
        <f>I228&amp;"_ "&amp;J228&amp;"_ "&amp;N228&amp;"_ "&amp;O228</f>
        <v>RPTEC-TERT1_ DMEM_ 48hr_ 0uM</v>
      </c>
      <c r="T228" s="3" t="s">
        <v>558</v>
      </c>
      <c r="U228" s="3" t="s">
        <v>580</v>
      </c>
      <c r="V228" s="3">
        <v>4600684</v>
      </c>
      <c r="W228" s="3">
        <v>217.92828383307301</v>
      </c>
      <c r="X228" s="3">
        <v>48</v>
      </c>
    </row>
    <row r="229" spans="1:24" x14ac:dyDescent="0.25">
      <c r="A229" s="3" t="s">
        <v>304</v>
      </c>
      <c r="B229" s="3" t="str">
        <f>H229&amp;"_ "&amp;I229&amp;"_ "&amp;J229&amp;"_ "&amp;N229&amp;"_ "&amp;O229&amp;"_R"&amp;R229</f>
        <v>Human_ RPTEC-TERT1_ DMEM_ 48hr_ 0uM_R6</v>
      </c>
      <c r="C229" s="3" t="s">
        <v>272</v>
      </c>
      <c r="D229" s="3" t="str">
        <f>C229&amp;"_"&amp;E229</f>
        <v>LEIDEN_TQ_RPTEC_CSP3_C12</v>
      </c>
      <c r="E229" s="3" t="s">
        <v>97</v>
      </c>
      <c r="F229" s="3" t="s">
        <v>670</v>
      </c>
      <c r="G229" s="3" t="s">
        <v>626</v>
      </c>
      <c r="H229" s="3" t="s">
        <v>627</v>
      </c>
      <c r="I229" s="3" t="s">
        <v>350</v>
      </c>
      <c r="J229" s="3" t="s">
        <v>21</v>
      </c>
      <c r="K229" s="3" t="s">
        <v>21</v>
      </c>
      <c r="L229" s="3" t="s">
        <v>21</v>
      </c>
      <c r="M229" s="3">
        <v>48</v>
      </c>
      <c r="N229" s="3" t="str">
        <f>M229&amp;"hr"</f>
        <v>48hr</v>
      </c>
      <c r="O229" s="3" t="str">
        <f>P229&amp;"uM"</f>
        <v>0uM</v>
      </c>
      <c r="P229" s="3">
        <v>0</v>
      </c>
      <c r="Q229" s="3">
        <v>0</v>
      </c>
      <c r="R229">
        <v>6</v>
      </c>
      <c r="S229" s="3" t="str">
        <f>I229&amp;"_ "&amp;J229&amp;"_ "&amp;N229&amp;"_ "&amp;O229</f>
        <v>RPTEC-TERT1_ DMEM_ 48hr_ 0uM</v>
      </c>
      <c r="T229" s="3" t="s">
        <v>558</v>
      </c>
      <c r="U229" s="3" t="s">
        <v>581</v>
      </c>
      <c r="V229" s="3">
        <v>3200709</v>
      </c>
      <c r="W229" s="3">
        <v>151.61332954384</v>
      </c>
      <c r="X229" s="3">
        <v>48</v>
      </c>
    </row>
    <row r="230" spans="1:24" x14ac:dyDescent="0.25">
      <c r="A230" s="3" t="s">
        <v>314</v>
      </c>
      <c r="B230" s="3" t="str">
        <f>H230&amp;"_ "&amp;I230&amp;"_ "&amp;J230&amp;"_ "&amp;N230&amp;"_ "&amp;O230&amp;"_R"&amp;R230</f>
        <v>Human_ RPTEC-TERT1_ DMEM_ 72hr_ 0uM_R1</v>
      </c>
      <c r="C230" s="3" t="s">
        <v>272</v>
      </c>
      <c r="D230" s="3" t="str">
        <f>C230&amp;"_"&amp;E230</f>
        <v>LEIDEN_TQ_RPTEC_CSP3_D11</v>
      </c>
      <c r="E230" s="3" t="s">
        <v>118</v>
      </c>
      <c r="F230" s="3" t="s">
        <v>670</v>
      </c>
      <c r="G230" s="3" t="s">
        <v>626</v>
      </c>
      <c r="H230" s="3" t="s">
        <v>627</v>
      </c>
      <c r="I230" s="3" t="s">
        <v>350</v>
      </c>
      <c r="J230" s="3" t="s">
        <v>21</v>
      </c>
      <c r="K230" s="3" t="s">
        <v>21</v>
      </c>
      <c r="L230" s="3" t="s">
        <v>21</v>
      </c>
      <c r="M230" s="3">
        <v>72</v>
      </c>
      <c r="N230" s="3" t="str">
        <f>M230&amp;"hr"</f>
        <v>72hr</v>
      </c>
      <c r="O230" s="3" t="str">
        <f>P230&amp;"uM"</f>
        <v>0uM</v>
      </c>
      <c r="P230" s="3">
        <v>0</v>
      </c>
      <c r="Q230" s="3">
        <v>0</v>
      </c>
      <c r="R230">
        <v>1</v>
      </c>
      <c r="S230" s="3" t="str">
        <f>I230&amp;"_ "&amp;J230&amp;"_ "&amp;N230&amp;"_ "&amp;O230</f>
        <v>RPTEC-TERT1_ DMEM_ 72hr_ 0uM</v>
      </c>
      <c r="T230" s="3" t="s">
        <v>600</v>
      </c>
      <c r="U230" s="3" t="s">
        <v>601</v>
      </c>
      <c r="V230" s="3">
        <v>3442920</v>
      </c>
      <c r="W230" s="3">
        <v>163.08654256074999</v>
      </c>
      <c r="X230" s="3">
        <v>72</v>
      </c>
    </row>
    <row r="231" spans="1:24" x14ac:dyDescent="0.25">
      <c r="A231" s="3" t="s">
        <v>315</v>
      </c>
      <c r="B231" s="3" t="str">
        <f>H231&amp;"_ "&amp;I231&amp;"_ "&amp;J231&amp;"_ "&amp;N231&amp;"_ "&amp;O231&amp;"_R"&amp;R231</f>
        <v>Human_ RPTEC-TERT1_ DMEM_ 72hr_ 0uM_R2</v>
      </c>
      <c r="C231" s="3" t="s">
        <v>272</v>
      </c>
      <c r="D231" s="3" t="str">
        <f>C231&amp;"_"&amp;E231</f>
        <v>LEIDEN_TQ_RPTEC_CSP3_D12</v>
      </c>
      <c r="E231" s="3" t="s">
        <v>120</v>
      </c>
      <c r="F231" s="3" t="s">
        <v>670</v>
      </c>
      <c r="G231" s="3" t="s">
        <v>626</v>
      </c>
      <c r="H231" s="3" t="s">
        <v>627</v>
      </c>
      <c r="I231" s="3" t="s">
        <v>350</v>
      </c>
      <c r="J231" s="3" t="s">
        <v>21</v>
      </c>
      <c r="K231" s="3" t="s">
        <v>21</v>
      </c>
      <c r="L231" s="3" t="s">
        <v>21</v>
      </c>
      <c r="M231" s="3">
        <v>72</v>
      </c>
      <c r="N231" s="3" t="str">
        <f>M231&amp;"hr"</f>
        <v>72hr</v>
      </c>
      <c r="O231" s="3" t="str">
        <f>P231&amp;"uM"</f>
        <v>0uM</v>
      </c>
      <c r="P231" s="3">
        <v>0</v>
      </c>
      <c r="Q231" s="3">
        <v>0</v>
      </c>
      <c r="R231">
        <v>2</v>
      </c>
      <c r="S231" s="3" t="str">
        <f>I231&amp;"_ "&amp;J231&amp;"_ "&amp;N231&amp;"_ "&amp;O231</f>
        <v>RPTEC-TERT1_ DMEM_ 72hr_ 0uM</v>
      </c>
      <c r="T231" s="3" t="s">
        <v>600</v>
      </c>
      <c r="U231" s="3" t="s">
        <v>602</v>
      </c>
      <c r="V231" s="3">
        <v>4495628</v>
      </c>
      <c r="W231" s="3">
        <v>212.95192079958301</v>
      </c>
      <c r="X231" s="3">
        <v>72</v>
      </c>
    </row>
    <row r="232" spans="1:24" x14ac:dyDescent="0.25">
      <c r="A232" s="3" t="s">
        <v>325</v>
      </c>
      <c r="B232" s="3" t="str">
        <f>H232&amp;"_ "&amp;I232&amp;"_ "&amp;J232&amp;"_ "&amp;N232&amp;"_ "&amp;O232&amp;"_R"&amp;R232</f>
        <v>Human_ RPTEC-TERT1_ DMEM_ 72hr_ 0uM_R3</v>
      </c>
      <c r="C232" s="3" t="s">
        <v>272</v>
      </c>
      <c r="D232" s="3" t="str">
        <f>C232&amp;"_"&amp;E232</f>
        <v>LEIDEN_TQ_RPTEC_CSP3_E11</v>
      </c>
      <c r="E232" s="3" t="s">
        <v>140</v>
      </c>
      <c r="F232" s="3" t="s">
        <v>670</v>
      </c>
      <c r="G232" s="3" t="s">
        <v>626</v>
      </c>
      <c r="H232" s="3" t="s">
        <v>627</v>
      </c>
      <c r="I232" s="3" t="s">
        <v>350</v>
      </c>
      <c r="J232" s="3" t="s">
        <v>21</v>
      </c>
      <c r="K232" s="3" t="s">
        <v>21</v>
      </c>
      <c r="L232" s="3" t="s">
        <v>21</v>
      </c>
      <c r="M232" s="3">
        <v>72</v>
      </c>
      <c r="N232" s="3" t="str">
        <f>M232&amp;"hr"</f>
        <v>72hr</v>
      </c>
      <c r="O232" s="3" t="str">
        <f>P232&amp;"uM"</f>
        <v>0uM</v>
      </c>
      <c r="P232" s="3">
        <v>0</v>
      </c>
      <c r="Q232" s="3">
        <v>0</v>
      </c>
      <c r="R232">
        <v>3</v>
      </c>
      <c r="S232" s="3" t="str">
        <f>I232&amp;"_ "&amp;J232&amp;"_ "&amp;N232&amp;"_ "&amp;O232</f>
        <v>RPTEC-TERT1_ DMEM_ 72hr_ 0uM</v>
      </c>
      <c r="T232" s="3" t="s">
        <v>600</v>
      </c>
      <c r="U232" s="3" t="s">
        <v>612</v>
      </c>
      <c r="V232" s="3">
        <v>5874938</v>
      </c>
      <c r="W232" s="3">
        <v>278.28800151579702</v>
      </c>
      <c r="X232" s="3">
        <v>72</v>
      </c>
    </row>
    <row r="233" spans="1:24" x14ac:dyDescent="0.25">
      <c r="A233" s="3" t="s">
        <v>326</v>
      </c>
      <c r="B233" s="3" t="str">
        <f>H233&amp;"_ "&amp;I233&amp;"_ "&amp;J233&amp;"_ "&amp;N233&amp;"_ "&amp;O233&amp;"_R"&amp;R233</f>
        <v>Human_ RPTEC-TERT1_ DMEM_ 72hr_ 0uM_R4</v>
      </c>
      <c r="C233" s="3" t="s">
        <v>272</v>
      </c>
      <c r="D233" s="3" t="str">
        <f>C233&amp;"_"&amp;E233</f>
        <v>LEIDEN_TQ_RPTEC_CSP3_E12</v>
      </c>
      <c r="E233" s="3" t="s">
        <v>142</v>
      </c>
      <c r="F233" s="3" t="s">
        <v>670</v>
      </c>
      <c r="G233" s="3" t="s">
        <v>626</v>
      </c>
      <c r="H233" s="3" t="s">
        <v>627</v>
      </c>
      <c r="I233" s="3" t="s">
        <v>350</v>
      </c>
      <c r="J233" s="3" t="s">
        <v>21</v>
      </c>
      <c r="K233" s="3" t="s">
        <v>21</v>
      </c>
      <c r="L233" s="3" t="s">
        <v>21</v>
      </c>
      <c r="M233" s="3">
        <v>72</v>
      </c>
      <c r="N233" s="3" t="str">
        <f>M233&amp;"hr"</f>
        <v>72hr</v>
      </c>
      <c r="O233" s="3" t="str">
        <f>P233&amp;"uM"</f>
        <v>0uM</v>
      </c>
      <c r="P233" s="3">
        <v>0</v>
      </c>
      <c r="Q233" s="3">
        <v>0</v>
      </c>
      <c r="R233">
        <v>4</v>
      </c>
      <c r="S233" s="3" t="str">
        <f>I233&amp;"_ "&amp;J233&amp;"_ "&amp;N233&amp;"_ "&amp;O233</f>
        <v>RPTEC-TERT1_ DMEM_ 72hr_ 0uM</v>
      </c>
      <c r="T233" s="3" t="s">
        <v>600</v>
      </c>
      <c r="U233" s="3" t="s">
        <v>613</v>
      </c>
      <c r="V233" s="3">
        <v>4881679</v>
      </c>
      <c r="W233" s="3">
        <v>231.23864336128099</v>
      </c>
      <c r="X233" s="3">
        <v>72</v>
      </c>
    </row>
    <row r="234" spans="1:24" x14ac:dyDescent="0.25">
      <c r="A234" s="3" t="s">
        <v>336</v>
      </c>
      <c r="B234" s="3" t="str">
        <f>H234&amp;"_ "&amp;I234&amp;"_ "&amp;J234&amp;"_ "&amp;N234&amp;"_ "&amp;O234&amp;"_R"&amp;R234</f>
        <v>Human_ RPTEC-TERT1_ DMEM_ 72hr_ 0uM_R5</v>
      </c>
      <c r="C234" s="3" t="s">
        <v>272</v>
      </c>
      <c r="D234" s="3" t="str">
        <f>C234&amp;"_"&amp;E234</f>
        <v>LEIDEN_TQ_RPTEC_CSP3_F11</v>
      </c>
      <c r="E234" s="3" t="s">
        <v>162</v>
      </c>
      <c r="F234" s="3" t="s">
        <v>670</v>
      </c>
      <c r="G234" s="3" t="s">
        <v>626</v>
      </c>
      <c r="H234" s="3" t="s">
        <v>627</v>
      </c>
      <c r="I234" s="3" t="s">
        <v>350</v>
      </c>
      <c r="J234" s="3" t="s">
        <v>21</v>
      </c>
      <c r="K234" s="3" t="s">
        <v>21</v>
      </c>
      <c r="L234" s="3" t="s">
        <v>21</v>
      </c>
      <c r="M234" s="3">
        <v>72</v>
      </c>
      <c r="N234" s="3" t="str">
        <f>M234&amp;"hr"</f>
        <v>72hr</v>
      </c>
      <c r="O234" s="3" t="str">
        <f>P234&amp;"uM"</f>
        <v>0uM</v>
      </c>
      <c r="P234" s="3">
        <v>0</v>
      </c>
      <c r="Q234" s="3">
        <v>0</v>
      </c>
      <c r="R234">
        <v>5</v>
      </c>
      <c r="S234" s="3" t="str">
        <f>I234&amp;"_ "&amp;J234&amp;"_ "&amp;N234&amp;"_ "&amp;O234</f>
        <v>RPTEC-TERT1_ DMEM_ 72hr_ 0uM</v>
      </c>
      <c r="T234" s="3" t="s">
        <v>600</v>
      </c>
      <c r="U234" s="3" t="s">
        <v>622</v>
      </c>
      <c r="V234" s="3">
        <v>3524126</v>
      </c>
      <c r="W234" s="3">
        <v>166.93316280612001</v>
      </c>
      <c r="X234" s="3">
        <v>72</v>
      </c>
    </row>
    <row r="235" spans="1:24" x14ac:dyDescent="0.25">
      <c r="A235" s="3" t="s">
        <v>337</v>
      </c>
      <c r="B235" s="3" t="str">
        <f>H235&amp;"_ "&amp;I235&amp;"_ "&amp;J235&amp;"_ "&amp;N235&amp;"_ "&amp;O235&amp;"_R"&amp;R235</f>
        <v>Human_ RPTEC-TERT1_ DMEM_ 72hr_ 0uM_R6</v>
      </c>
      <c r="C235" s="3" t="s">
        <v>272</v>
      </c>
      <c r="D235" s="3" t="str">
        <f>C235&amp;"_"&amp;E235</f>
        <v>LEIDEN_TQ_RPTEC_CSP3_F12</v>
      </c>
      <c r="E235" s="3" t="s">
        <v>164</v>
      </c>
      <c r="F235" s="3" t="s">
        <v>670</v>
      </c>
      <c r="G235" s="3" t="s">
        <v>626</v>
      </c>
      <c r="H235" s="3" t="s">
        <v>627</v>
      </c>
      <c r="I235" s="3" t="s">
        <v>350</v>
      </c>
      <c r="J235" s="3" t="s">
        <v>21</v>
      </c>
      <c r="K235" s="3" t="s">
        <v>21</v>
      </c>
      <c r="L235" s="3" t="s">
        <v>21</v>
      </c>
      <c r="M235" s="3">
        <v>72</v>
      </c>
      <c r="N235" s="3" t="str">
        <f>M235&amp;"hr"</f>
        <v>72hr</v>
      </c>
      <c r="O235" s="3" t="str">
        <f>P235&amp;"uM"</f>
        <v>0uM</v>
      </c>
      <c r="P235" s="3">
        <v>0</v>
      </c>
      <c r="Q235" s="3">
        <v>0</v>
      </c>
      <c r="R235">
        <v>6</v>
      </c>
      <c r="S235" s="3" t="str">
        <f>I235&amp;"_ "&amp;J235&amp;"_ "&amp;N235&amp;"_ "&amp;O235</f>
        <v>RPTEC-TERT1_ DMEM_ 72hr_ 0uM</v>
      </c>
      <c r="T235" s="3" t="s">
        <v>600</v>
      </c>
      <c r="U235" s="3" t="s">
        <v>623</v>
      </c>
      <c r="V235" s="3">
        <v>4493812</v>
      </c>
      <c r="W235" s="3">
        <v>212.865899294207</v>
      </c>
      <c r="X235" s="3">
        <v>72</v>
      </c>
    </row>
    <row r="236" spans="1:24" x14ac:dyDescent="0.25">
      <c r="A236" s="3" t="s">
        <v>14</v>
      </c>
      <c r="B236" s="3" t="str">
        <f>H236&amp;"_ "&amp;I236&amp;"_ "&amp;J236&amp;"_ "&amp;N236&amp;"_ "&amp;O236&amp;"_R"&amp;R236</f>
        <v>Human_ NA_ NA_ 0hr_ 0uM_R1</v>
      </c>
      <c r="C236" s="3" t="s">
        <v>15</v>
      </c>
      <c r="D236" s="3" t="str">
        <f>C236&amp;"_"&amp;E236</f>
        <v>LEIDEN_TQ_RPTEC_CSP1_G1</v>
      </c>
      <c r="E236" s="3" t="s">
        <v>16</v>
      </c>
      <c r="F236" s="3" t="s">
        <v>668</v>
      </c>
      <c r="G236" s="3" t="s">
        <v>626</v>
      </c>
      <c r="H236" s="3" t="s">
        <v>627</v>
      </c>
      <c r="I236" s="3" t="s">
        <v>17</v>
      </c>
      <c r="J236" s="3" t="s">
        <v>17</v>
      </c>
      <c r="K236" s="3" t="s">
        <v>17</v>
      </c>
      <c r="L236" s="3" t="s">
        <v>17</v>
      </c>
      <c r="M236" s="3">
        <v>0</v>
      </c>
      <c r="N236" s="3" t="str">
        <f>M236&amp;"hr"</f>
        <v>0hr</v>
      </c>
      <c r="O236" s="3" t="str">
        <f>P236&amp;"uM"</f>
        <v>0uM</v>
      </c>
      <c r="P236" s="3">
        <v>0</v>
      </c>
      <c r="Q236" s="3">
        <v>0</v>
      </c>
      <c r="R236">
        <v>1</v>
      </c>
      <c r="S236" s="3" t="str">
        <f>I236&amp;"_ "&amp;J236&amp;"_ "&amp;N236&amp;"_ "&amp;O236</f>
        <v>NA_ NA_ 0hr_ 0uM</v>
      </c>
      <c r="T236" s="3" t="s">
        <v>361</v>
      </c>
      <c r="U236" s="3" t="s">
        <v>362</v>
      </c>
      <c r="V236" s="3">
        <v>4925852</v>
      </c>
      <c r="W236" s="3">
        <v>233.33105963715599</v>
      </c>
      <c r="X236" s="3">
        <v>0</v>
      </c>
    </row>
    <row r="237" spans="1:24" x14ac:dyDescent="0.25">
      <c r="A237" s="3" t="s">
        <v>18</v>
      </c>
      <c r="B237" s="3" t="str">
        <f>H237&amp;"_ "&amp;I237&amp;"_ "&amp;J237&amp;"_ "&amp;N237&amp;"_ "&amp;O237&amp;"_R"&amp;R237</f>
        <v>Human_ NA_ NA_ 0hr_ 0uM_R2</v>
      </c>
      <c r="C237" s="3" t="s">
        <v>15</v>
      </c>
      <c r="D237" s="3" t="str">
        <f>C237&amp;"_"&amp;E237</f>
        <v>LEIDEN_TQ_RPTEC_CSP1_G1</v>
      </c>
      <c r="E237" s="3" t="s">
        <v>16</v>
      </c>
      <c r="F237" s="3" t="s">
        <v>668</v>
      </c>
      <c r="G237" s="3" t="s">
        <v>626</v>
      </c>
      <c r="H237" s="3" t="s">
        <v>627</v>
      </c>
      <c r="I237" s="3" t="s">
        <v>17</v>
      </c>
      <c r="J237" s="3" t="s">
        <v>17</v>
      </c>
      <c r="K237" s="3" t="s">
        <v>17</v>
      </c>
      <c r="L237" s="3" t="s">
        <v>17</v>
      </c>
      <c r="M237" s="3">
        <v>0</v>
      </c>
      <c r="N237" s="3" t="str">
        <f>M237&amp;"hr"</f>
        <v>0hr</v>
      </c>
      <c r="O237" s="3" t="str">
        <f>P237&amp;"uM"</f>
        <v>0uM</v>
      </c>
      <c r="P237" s="3">
        <v>0</v>
      </c>
      <c r="Q237" s="3">
        <v>0</v>
      </c>
      <c r="R237">
        <v>2</v>
      </c>
      <c r="S237" s="3" t="str">
        <f>I237&amp;"_ "&amp;J237&amp;"_ "&amp;N237&amp;"_ "&amp;O237</f>
        <v>NA_ NA_ 0hr_ 0uM</v>
      </c>
      <c r="T237" s="3" t="s">
        <v>361</v>
      </c>
      <c r="U237" s="3" t="s">
        <v>363</v>
      </c>
      <c r="V237" s="3">
        <v>2689087</v>
      </c>
      <c r="W237" s="3">
        <v>127.378475676188</v>
      </c>
      <c r="X237" s="3">
        <v>0</v>
      </c>
    </row>
    <row r="238" spans="1:24" x14ac:dyDescent="0.25">
      <c r="A238" s="3" t="s">
        <v>348</v>
      </c>
      <c r="B238" s="3" t="str">
        <f>H238&amp;"_ "&amp;I238&amp;"_ "&amp;J238&amp;"_ "&amp;N238&amp;"_ "&amp;O238&amp;"_R"&amp;R238</f>
        <v>Human_ NA_ NA_ 72hr_ 0uM_R1</v>
      </c>
      <c r="C238" s="3" t="s">
        <v>272</v>
      </c>
      <c r="D238" s="3" t="str">
        <f>C238&amp;"_"&amp;E238</f>
        <v>LEIDEN_TQ_RPTEC_CSP3_G01</v>
      </c>
      <c r="E238" s="3" t="s">
        <v>349</v>
      </c>
      <c r="F238" s="3" t="s">
        <v>670</v>
      </c>
      <c r="G238" s="3" t="s">
        <v>626</v>
      </c>
      <c r="H238" s="3" t="s">
        <v>627</v>
      </c>
      <c r="I238" s="3" t="s">
        <v>17</v>
      </c>
      <c r="J238" s="3" t="s">
        <v>17</v>
      </c>
      <c r="K238" s="3" t="s">
        <v>17</v>
      </c>
      <c r="L238" s="3" t="s">
        <v>17</v>
      </c>
      <c r="M238" s="3">
        <v>72</v>
      </c>
      <c r="N238" s="3" t="str">
        <f>M238&amp;"hr"</f>
        <v>72hr</v>
      </c>
      <c r="O238" s="3" t="str">
        <f>P238&amp;"uM"</f>
        <v>0uM</v>
      </c>
      <c r="P238" s="3">
        <v>0</v>
      </c>
      <c r="Q238" s="3">
        <v>0</v>
      </c>
      <c r="R238" s="3">
        <v>1</v>
      </c>
      <c r="S238" s="3" t="str">
        <f>I238&amp;"_ "&amp;J238&amp;"_ "&amp;N238&amp;"_ "&amp;O238</f>
        <v>NA_ NA_ 72hr_ 0uM</v>
      </c>
      <c r="T238" s="3" t="s">
        <v>624</v>
      </c>
      <c r="U238" s="3" t="s">
        <v>625</v>
      </c>
      <c r="V238" s="3">
        <v>48024</v>
      </c>
      <c r="W238" s="3">
        <v>2.2748330254369802</v>
      </c>
      <c r="X238" s="3">
        <v>72</v>
      </c>
    </row>
  </sheetData>
  <autoFilter ref="A1:X238" xr:uid="{DE3152BE-41F6-412A-8736-7E3E1AB4F6BD}">
    <sortState xmlns:xlrd2="http://schemas.microsoft.com/office/spreadsheetml/2017/richdata2" ref="A2:X238">
      <sortCondition ref="L2:L238"/>
      <sortCondition ref="M2:M238"/>
      <sortCondition ref="P2:P238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Kunnen, S.J. (Steven)</dc:creator>
  <cp:lastModifiedBy>Kunnen, S.J.</cp:lastModifiedBy>
  <dcterms:created xsi:type="dcterms:W3CDTF">2022-06-16T09:44:10Z</dcterms:created>
  <dcterms:modified xsi:type="dcterms:W3CDTF">2022-06-16T15:24:16Z</dcterms:modified>
</cp:coreProperties>
</file>